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ender Database" sheetId="2" state="visible" r:id="rId4"/>
    <sheet name="All States &amp; Banks" sheetId="3" state="visible" r:id="rId5"/>
    <sheet name="Bureau by State Matrix" sheetId="4" state="visible" r:id="rId6"/>
    <sheet name="Funding Sequence" sheetId="5" state="visible" r:id="rId7"/>
    <sheet name="Sources" sheetId="6" state="visible" r:id="rId8"/>
  </sheets>
  <definedNames>
    <definedName function="false" hidden="true" localSheetId="2" name="_xlnm._FilterDatabase" vbProcedure="false">'All States &amp; Banks'!$A$1:$N$356</definedName>
    <definedName function="false" hidden="true" localSheetId="3" name="_xlnm._FilterDatabase" vbProcedure="false">'Bureau by State Matrix'!$A$1:$I$671</definedName>
    <definedName function="false" hidden="true" localSheetId="4" name="_xlnm._FilterDatabase" vbProcedure="false">'Funding Sequence'!$A$12:$I$69</definedName>
    <definedName function="false" hidden="true" localSheetId="1" name="_xlnm._FilterDatabase" vbProcedure="false">'Lender Database'!$A$1:$T$224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<sst xmlns="http://schemas.openxmlformats.org/spreadsheetml/2006/main" count="12893" uniqueCount="2167">
  <si>
    <t xml:space="preserve">Inquiry Database | Expanded and Verified</t>
  </si>
  <si>
    <t xml:space="preserve">Research completed October 7, 2026. Built from your original Inquiry Database plus 54 outside sources.</t>
  </si>
  <si>
    <t xml:space="preserve">Tabs in this workbook</t>
  </si>
  <si>
    <t xml:space="preserve">Lender Database</t>
  </si>
  <si>
    <t xml:space="preserve">One row per lender or funding source, sectioned by industry. Includes funding type, bureau pattern, states where each bureau has been documented, average score needed, low or no doc status, notes and a source link.</t>
  </si>
  <si>
    <t xml:space="preserve">All States &amp; Banks</t>
  </si>
  <si>
    <t xml:space="preserve">Your original 355 rows, untouched in columns A to E, with a standardized lender name, industry, funding type, score, low-doc flag and a cross-check result added to each row (columns F to N).</t>
  </si>
  <si>
    <t xml:space="preserve">Bureau by State Matrix</t>
  </si>
  <si>
    <t xml:space="preserve">Every outside state-level datapoint collected: issuer, state, bureau, source and data period. Filter by state or issuer.</t>
  </si>
  <si>
    <t xml:space="preserve">Funding Sequence</t>
  </si>
  <si>
    <t xml:space="preserve">Step by step order of applications for each score tier from 500-549 to 800+, with the bureau each step is likely to hit.</t>
  </si>
  <si>
    <t xml:space="preserve">Sources</t>
  </si>
  <si>
    <t xml:space="preserve">Every source with its link, what it was used for and its date.</t>
  </si>
  <si>
    <t xml:space="preserve">Cross-check of your 355 original rows</t>
  </si>
  <si>
    <t xml:space="preserve">Confirmed by state data</t>
  </si>
  <si>
    <t xml:space="preserve">Partly confirmed by state data</t>
  </si>
  <si>
    <t xml:space="preserve">Fits national pattern</t>
  </si>
  <si>
    <t xml:space="preserve">Partly fits national pattern</t>
  </si>
  <si>
    <t xml:space="preserve">Differs from published data</t>
  </si>
  <si>
    <t xml:space="preserve">Unusual for this lender</t>
  </si>
  <si>
    <t xml:space="preserve">Your row is the only datapoint</t>
  </si>
  <si>
    <t xml:space="preserve">Auto: varies by dealer and region</t>
  </si>
  <si>
    <t xml:space="preserve">Reseller or screening, not a lender</t>
  </si>
  <si>
    <t xml:space="preserve">Other non-funding inquiry</t>
  </si>
  <si>
    <t xml:space="preserve">Name not identified</t>
  </si>
  <si>
    <t xml:space="preserve">Total rows</t>
  </si>
  <si>
    <t xml:space="preserve">What changed since your list was built</t>
  </si>
  <si>
    <t xml:space="preserve">BBVA</t>
  </si>
  <si>
    <t xml:space="preserve">BBVA USA was bought by PNC in 2021. Use PNC for new applications.</t>
  </si>
  <si>
    <t xml:space="preserve">SunTrust and BB&amp;T</t>
  </si>
  <si>
    <t xml:space="preserve">Merged into Truist in December 2019. Your SunTrust and BB&amp;T rows (Equifax) match Truist's current Equifax pattern.</t>
  </si>
  <si>
    <t xml:space="preserve">BMO Harris</t>
  </si>
  <si>
    <t xml:space="preserve">Now BMO.</t>
  </si>
  <si>
    <t xml:space="preserve">RBS Citizens / Citizens One</t>
  </si>
  <si>
    <t xml:space="preserve">Now Citizens Bank, N.A.</t>
  </si>
  <si>
    <t xml:space="preserve">LoanMe</t>
  </si>
  <si>
    <t xml:space="preserve">Stopped lending in 2022. Remove from any active funding plan.</t>
  </si>
  <si>
    <t xml:space="preserve">Apple Card / GS Bank</t>
  </si>
  <si>
    <t xml:space="preserve">Goldman Sachs announced in January 2026 that the program is moving to Chase. Today it still pulls TransUnion (sometimes Equifax); after the move expect Chase's pattern, usually Experian.</t>
  </si>
  <si>
    <t xml:space="preserve">Discover</t>
  </si>
  <si>
    <t xml:space="preserve">Owned by Capital One since May 2025. Discover applications still follow Discover's pattern (Experian first).</t>
  </si>
  <si>
    <t xml:space="preserve">Brex</t>
  </si>
  <si>
    <t xml:space="preserve">Acquired by Capital One in April 2026. Eligibility terms may change.</t>
  </si>
  <si>
    <t xml:space="preserve">LendingClub</t>
  </si>
  <si>
    <t xml:space="preserve">Rebranded as Happen Bank in 2026.</t>
  </si>
  <si>
    <t xml:space="preserve">SBA 7(a) small loans</t>
  </si>
  <si>
    <t xml:space="preserve">The FICO SBSS score was retired on March 1, 2026. There is no SBA minimum score now; lenders use their own credit analysis and a 1.1 debt service coverage test.</t>
  </si>
  <si>
    <t xml:space="preserve">Mortgage scoring</t>
  </si>
  <si>
    <t xml:space="preserve">FHFA told Fannie Mae and Freddie Mac in September 2026 to accept VantageScore 4.0 from all lenders. Tri-merge (all three bureaus) is still required.</t>
  </si>
  <si>
    <t xml:space="preserve">Not actually lenders</t>
  </si>
  <si>
    <t xml:space="preserve">Credit Plus, Factual Data, CIC Credit, Credco, Advantage Credit, Equifax Mortgage Solutions, CIS, United One, Informative Research, Covius, Funding Suite and American Reporting are credit report resellers. National Tenant Network, RentGrow and Checkpoint are tenant screeners. They are grouped in their own section.</t>
  </si>
  <si>
    <t xml:space="preserve">Florida rows with numbers</t>
  </si>
  <si>
    <t xml:space="preserve">Eleven Florida rows hold counts instead of an x (for example American Express 211 / 37 / 25). They were kept as counts and treated as the number of inquiries seen per bureau.</t>
  </si>
  <si>
    <t xml:space="preserve">How to read the columns</t>
  </si>
  <si>
    <t xml:space="preserve">Bureau flags</t>
  </si>
  <si>
    <t xml:space="preserve">Primary = the bureau pulled most of the time. Common = regularly reported. Sometimes = documented but a minority. Rare = isolated reports. Blank = no documentation found.</t>
  </si>
  <si>
    <t xml:space="preserve">States documented</t>
  </si>
  <si>
    <t xml:space="preserve">States where a pull on that bureau has been documented. An asterisk (*) means the datapoint comes from your own list; no asterisk means an outside source.</t>
  </si>
  <si>
    <t xml:space="preserve">Avg credit score needed</t>
  </si>
  <si>
    <t xml:space="preserve">The score range where approvals are typical. This is a published figure where one exists and a community estimate otherwise. The next column gives the published or reported minimum.</t>
  </si>
  <si>
    <t xml:space="preserve">Low / No-Doc</t>
  </si>
  <si>
    <t xml:space="preserve">Yes = no tax returns or financial statements; a bank link, bank statements, an application or collateral is enough. Partial = stated income or revenue with documents requested only sometimes. No = full documentation.</t>
  </si>
  <si>
    <t xml:space="preserve">Confidence</t>
  </si>
  <si>
    <t xml:space="preserve">High = several independent sources or 10+ datapoints agree. Medium = one good source or a few datapoints. Low = a single datapoint, your list only, or an estimate.</t>
  </si>
  <si>
    <t xml:space="preserve">GK in sources</t>
  </si>
  <si>
    <t xml:space="preserve">General knowledge that was not re-verified in this research pass. Treat those cells as lower confidence.</t>
  </si>
  <si>
    <t xml:space="preserve">Limits of this data</t>
  </si>
  <si>
    <t xml:space="preserve">No issuer publishes its bureau by state</t>
  </si>
  <si>
    <t xml:space="preserve">Everything here is consumer-reported. The largest state-by-state sets (Doctor of Credit) cover 2008 to 2016; the myFICO grid is from July 2023; the newest datapoints are from 2025 and 2026.</t>
  </si>
  <si>
    <t xml:space="preserve">Bureau choice can change with the product and channel</t>
  </si>
  <si>
    <t xml:space="preserve">Card, auto, mortgage and business products at the same bank often use different bureaus. Prequalified offers, frozen reports and existing relationships also change the pull.</t>
  </si>
  <si>
    <t xml:space="preserve">One source was reviewed and discounted</t>
  </si>
  <si>
    <t xml:space="preserve">The Credit People's bureau list contradicts itself on Chase and Wells Fargo and cites placeholder sources, so it carried no weight.</t>
  </si>
  <si>
    <t xml:space="preserve">Not financial advice</t>
  </si>
  <si>
    <t xml:space="preserve">This is reference information for planning. I am not a licensed financial advisor, and approval decisions rest with each lender.</t>
  </si>
  <si>
    <t xml:space="preserve">Industry Section</t>
  </si>
  <si>
    <t xml:space="preserve">Lender / Funding Source</t>
  </si>
  <si>
    <t xml:space="preserve">In Your Original List?</t>
  </si>
  <si>
    <t xml:space="preserve">Also Operates In</t>
  </si>
  <si>
    <t xml:space="preserve">Type of Funding</t>
  </si>
  <si>
    <t xml:space="preserve">Primary Bureau</t>
  </si>
  <si>
    <t xml:space="preserve">Experian</t>
  </si>
  <si>
    <t xml:space="preserve">Equifax</t>
  </si>
  <si>
    <t xml:space="preserve">TransUnion</t>
  </si>
  <si>
    <t xml:space="preserve">Experian States Documented</t>
  </si>
  <si>
    <t xml:space="preserve">Equifax States Documented</t>
  </si>
  <si>
    <t xml:space="preserve">TransUnion States Documented</t>
  </si>
  <si>
    <t xml:space="preserve">Avg Credit Score Needed</t>
  </si>
  <si>
    <t xml:space="preserve">Published or Reported Minimum</t>
  </si>
  <si>
    <t xml:space="preserve">Low / No-Doc?</t>
  </si>
  <si>
    <t xml:space="preserve">Low-Doc Detail</t>
  </si>
  <si>
    <t xml:space="preserve">Notes and Status</t>
  </si>
  <si>
    <t xml:space="preserve">Primary Source Link</t>
  </si>
  <si>
    <t xml:space="preserve">01 Major Banks &amp; Card Issuers</t>
  </si>
  <si>
    <t xml:space="preserve">JPMorgan Chase (Chase Card Services)</t>
  </si>
  <si>
    <t xml:space="preserve">Yes</t>
  </si>
  <si>
    <t xml:space="preserve">Auto finance, mortgage</t>
  </si>
  <si>
    <t xml:space="preserve">Personal and business credit cards; business lines of credit and term loans; SBA 7(a) and Express</t>
  </si>
  <si>
    <t xml:space="preserve">Primary</t>
  </si>
  <si>
    <t xml:space="preserve">Common</t>
  </si>
  <si>
    <t xml:space="preserve">Sometimes</t>
  </si>
  <si>
    <t xml:space="preserve">AL*, AR, AZ*, CA*, CO, CT, DC, DE, FL*, GA*, HI*, IA, ID, IL, IN, LA, MA, MD*, ME, MI, MN, MO*, NC, NJ, NM, NV*, NY*, OH, OR, PA, TN, TX*, UT, VA, WA*, WV</t>
  </si>
  <si>
    <t xml:space="preserve">AL*, AR, AZ, CA*, DC, FL*, GA*, IA, IN*, KS, KY, LA, MA, MD*, MI, MN, MO, NC, NH, NJ, NV*, NY, OH, OR, PA, SC, TN, TX, VA, WA*, WI</t>
  </si>
  <si>
    <t xml:space="preserve">AL, CA*, CO, DC, FL*, GA, IA, IL, IN*, KY, LA, MA, MD, ME, MI, MO, MS, MT, NC, NE, NH, NJ, NM, NV, NY, OH, OK, PA, SC, TN, TX, VA, VT, WA, WI</t>
  </si>
  <si>
    <t xml:space="preserve">700-720</t>
  </si>
  <si>
    <t xml:space="preserve">About 670 for Ink business cards; Freedom Rise accepts no credit history</t>
  </si>
  <si>
    <t xml:space="preserve">Partial</t>
  </si>
  <si>
    <t xml:space="preserve">Cards are stated income with no documents in most cases. Sole proprietors can apply with an SSN. Bank lines and term loans are full doc.</t>
  </si>
  <si>
    <t xml:space="preserve">Most variable issuer by state. Double pulls (EX plus EQ) are common on new accounts; TransUnion mainly shows up after a Credit Journey prequalification. 5/24 rule; one business card per 30 days. Business cards do not report to personal bureaus. Chase is taking over the Apple Card program from Goldman Sachs.</t>
  </si>
  <si>
    <t xml:space="preserve">High</t>
  </si>
  <si>
    <t xml:space="preserve">S1, S2, S9, S11, S18, S24, S26, S50</t>
  </si>
  <si>
    <t xml:space="preserve">Doctor of Credit: Which Credit Bureau Does Each Card Issuer Pull?</t>
  </si>
  <si>
    <t xml:space="preserve">American Express</t>
  </si>
  <si>
    <t xml:space="preserve">Personal and business credit cards and charge cards; Business Line of Credit (formerly Kabbage)</t>
  </si>
  <si>
    <t xml:space="preserve">Rare</t>
  </si>
  <si>
    <t xml:space="preserve">AL, AR, AZ*, CA, CO, CT, DC, DE, FL*, GA, HI*, ID, IL, IN, KS, KY, LA, MA, MD*, MI, MN, MO, MS, NC, NH, NJ*, NM, NV, NY, OH, OK, OR, PA, SC, TN, TX, UT, VA, WA, WI</t>
  </si>
  <si>
    <t xml:space="preserve">CA, DC, FL*, MS, TX, VA, WA</t>
  </si>
  <si>
    <t xml:space="preserve">AZ*, CA, CT, DE, FL*, GA*, KY, NC, NY, OK, TX, VA</t>
  </si>
  <si>
    <t xml:space="preserve">690-720</t>
  </si>
  <si>
    <t xml:space="preserve">About 670 for cards; 660 FICO for the Business Line of Credit</t>
  </si>
  <si>
    <t xml:space="preserve">Cards are stated income; existing cardholders are often approved on a soft pull. The Business Line of Credit needs 1 year in business, $3,000 average monthly revenue and a linked business checking account, no tax returns up front.</t>
  </si>
  <si>
    <t xml:space="preserve">The most consistent Experian puller (about 95% of 390 datapoints). Limit of 2 credit cards per 90 days; charge cards exempt. Business cards do not report to personal bureaus while in good standing. Credit limit increase of up to 3x can be requested after day 61 on a soft pull.</t>
  </si>
  <si>
    <t xml:space="preserve">S4, S9, S11, S18, S23, S26, S45</t>
  </si>
  <si>
    <t xml:space="preserve">Doctor of Credit: What Credit Bureau Does American Express Pull?</t>
  </si>
  <si>
    <t xml:space="preserve">Citibank (Citi Cards / CBNA)</t>
  </si>
  <si>
    <t xml:space="preserve">Retail store cards (see Citi Retail Services)</t>
  </si>
  <si>
    <t xml:space="preserve">Personal and business credit cards; personal loans; small business lending in branch markets</t>
  </si>
  <si>
    <t xml:space="preserve">AZ*, CA, CO, CT, DC, DE, FL*, GA, IA, ID, IL, IN, KY, MA, MD, MI, MN, MO, NC, NH, NJ, NM, NV*, NY, OH, OK, OR, PA, SD, TN, TX, VA, WA, WI</t>
  </si>
  <si>
    <t xml:space="preserve">AL, AZ, CA*, CO, CT, DE, FL*, GA, HI, IL, KY, LA, MA, MD, ME, MI, MN, MO, MT, NC, NH, NJ, NV, NY*, OK, OR, PA, SC, SD, TN, TX, VA, WA*</t>
  </si>
  <si>
    <t xml:space="preserve">AR, AZ, CA, CT, FL*, GA, IL, IN, LA, MA, ME, MI, MO, NC, NJ, NY, OR, PA, SD, TN, TX, UT, VA, WA</t>
  </si>
  <si>
    <t xml:space="preserve">About 680</t>
  </si>
  <si>
    <t xml:space="preserve">Cards are stated income. Business lending is in person and full doc.</t>
  </si>
  <si>
    <t xml:space="preserve">Experian about 53%, Equifax about 38%, TransUnion about 9% of 458 datapoints. Double pulls reported for people new to Citi. Forum reports from 2023 say Citi business cards pull Equifax. Sensitive to recent inquiries (trouble reported above 6 in 6 months). Limit of 1 card per 8 days and 2 per 65 days.</t>
  </si>
  <si>
    <t xml:space="preserve">S3, S9, S12, S18, S26</t>
  </si>
  <si>
    <t xml:space="preserve">Doctor of Credit: What Credit Bureau Does Citibank Pull?</t>
  </si>
  <si>
    <t xml:space="preserve">Bank of America</t>
  </si>
  <si>
    <t xml:space="preserve">Auto, mortgage, Merrill</t>
  </si>
  <si>
    <t xml:space="preserve">Personal and business credit cards; unsecured and secured business lines of credit; term loans; equipment loans; secured business card</t>
  </si>
  <si>
    <t xml:space="preserve">AK, AL, AR, AZ, CA*, DC, DE, FL*, GA, ID, IL, KY, LA, MA, MD, MI, MN, MO, MS, NC, NH, NJ*, NM, NV*, NY, OH, OR, PA, RI, SC, TN, TX, VA, WA, WV</t>
  </si>
  <si>
    <t xml:space="preserve">AZ, CA, FL*, HI, IL, LA, MN, NC, NV, NY, WA, WI</t>
  </si>
  <si>
    <t xml:space="preserve">AL, AZ, CA*, CO*, CT, DE, FL*, GA, HI, IL, KY, LA, MA, MD*, MI, NC, NH, NJ, NV*, NY*, OR, PA, SC, TX, WA*</t>
  </si>
  <si>
    <t xml:space="preserve">About 670 for cards; 700 for unsecured business credit</t>
  </si>
  <si>
    <t xml:space="preserve">Cards are stated income. The Cash Secured Line of Credit needs only 6 months in business and $50,000 revenue. Unsecured business line or term loan: 2 years in business and $100,000 revenue, with financials.</t>
  </si>
  <si>
    <t xml:space="preserve">Experian about 82% of 129 datapoints; TransUnion is the usual fallback and is commonly reported for business cards. 2/3/4 rule on consumer cards; 7/12 with a BofA deposit account. Business cards do not report to personal bureaus. Intro 0% period on Business Advantage cards was cut to 7 billing cycles in January 2026.</t>
  </si>
  <si>
    <t xml:space="preserve">S5, S8, S9, S11, S12, S13, S24, S26, S44</t>
  </si>
  <si>
    <t xml:space="preserve">Doctor of Credit: What Credit Bureau Does Bank of America Pull?</t>
  </si>
  <si>
    <t xml:space="preserve">Capital One</t>
  </si>
  <si>
    <t xml:space="preserve">Auto finance (see Capital One Auto). Owns Discover (May 2025) and Brex (April 2026).</t>
  </si>
  <si>
    <t xml:space="preserve">Personal and business credit cards; secured card; business lines and loans</t>
  </si>
  <si>
    <t xml:space="preserve">All three</t>
  </si>
  <si>
    <t xml:space="preserve">AZ*, CA*, DE*, FL*, HI*, IL, IN*, MA, MO*, NJ*, NY*, OH, TX, VA, WA</t>
  </si>
  <si>
    <t xml:space="preserve">AZ*, CA*, DE, FL*, GA, HI*, IL, IN*, KS, MA, MO*, NJ*, NY*, TX, VA, WA</t>
  </si>
  <si>
    <t xml:space="preserve">AZ*, CA*, DE, FL*, HI*, IL, IN*, MA, MO*, NJ*, NY*, TX, VA</t>
  </si>
  <si>
    <t xml:space="preserve">670-700 for mainstream cards</t>
  </si>
  <si>
    <t xml:space="preserve">Secured Platinum is recommended for 300-629</t>
  </si>
  <si>
    <t xml:space="preserve">Stated income on cards. Secured card deposits of $49, $99 or $200.</t>
  </si>
  <si>
    <t xml:space="preserve">Pulls all three bureaus on almost every application. Approval can still go through with Experian or Equifax frozen, but not TransUnion for personal cards. Most Spark business cards report to personal bureaus; Spark Cash Plus, Venture X Business and the $95 Venture Business do not. Roughly one new card per 6 months.</t>
  </si>
  <si>
    <t xml:space="preserve">S1, S9, S11, S13, S18, S20, S23, S26, S42, S51, S52</t>
  </si>
  <si>
    <t xml:space="preserve">Discover (now part of Capital One)</t>
  </si>
  <si>
    <t xml:space="preserve">Student loans (exited), deposits</t>
  </si>
  <si>
    <t xml:space="preserve">Personal credit cards; secured card; personal loans</t>
  </si>
  <si>
    <t xml:space="preserve">AZ*, CA, DE*, FL*, GA, ID, IL, IN, KY, MA, MN, NC, NJ, NY, PA, SC, TX, VA, WA*</t>
  </si>
  <si>
    <t xml:space="preserve">CA, FL*, GA, IN, MI, NC, NM, NY</t>
  </si>
  <si>
    <t xml:space="preserve">ID, KY, NJ</t>
  </si>
  <si>
    <t xml:space="preserve">680</t>
  </si>
  <si>
    <t xml:space="preserve">660 for personal loans ($25,000 minimum income); secured card for thinner files</t>
  </si>
  <si>
    <t xml:space="preserve">Stated income on cards. Personal loans may ask for income verification.</t>
  </si>
  <si>
    <t xml:space="preserve">Experian is primary, Equifax second, in the 2023 myFICO grid; some sources name TransUnion. If Experian is frozen you can ask Discover by chat to pull another bureau. Second card only after 12 months; maximum 2 cards. Business card reports to personal. Acquired by Capital One in May 2025.</t>
  </si>
  <si>
    <t xml:space="preserve">Medium</t>
  </si>
  <si>
    <t xml:space="preserve">S9, S18, S19, S26, S30, S31, S52</t>
  </si>
  <si>
    <t xml:space="preserve">myFICO Forums: Which Report Will They Pull, Part 2 (state grid, as of 07/09/23)</t>
  </si>
  <si>
    <t xml:space="preserve">U.S. Bank</t>
  </si>
  <si>
    <t xml:space="preserve">Dealer auto (see U.S. Bank Dealer Services), Elan (subsidiary)</t>
  </si>
  <si>
    <t xml:space="preserve">Personal and business credit cards; Cash Flow Manager line of credit (up to $250,000); Quick Loan; SBA 7(a) and Express</t>
  </si>
  <si>
    <t xml:space="preserve">CA, CO, FL*, GA, MA, MN, NC, NH, NJ, NV, NY, OR, PA, SC, TX</t>
  </si>
  <si>
    <t xml:space="preserve">CA, FL*, GA, IA, IL, LA, MA, MD, MO, NC, NE, NJ*, SC, SD, TX, VA, WA</t>
  </si>
  <si>
    <t xml:space="preserve">AL, AZ*, CA, DE, FL*, GA, IL, IN, MI, MN, NJ, NY, OH, OR, PA, SC, UT, WA*</t>
  </si>
  <si>
    <t xml:space="preserve">720</t>
  </si>
  <si>
    <t xml:space="preserve">About 700</t>
  </si>
  <si>
    <t xml:space="preserve">Business cards are stated income. Cash Flow Manager needs 12 months in business and a limit of up to about 20% of prior year revenue. Opening a business checking account 30 days before applying is widely recommended.</t>
  </si>
  <si>
    <t xml:space="preserve">TransUnion is the most common pull and all four 2026 forum datapoints with a state were TransUnion (GA, CA) or Experian (NY). Older data shows Experian in CO, NV, NY and Equifax in TX. Sensitive to recently opened accounts (5 or more in 12 months). Business cards do not report to personal bureaus.</t>
  </si>
  <si>
    <t xml:space="preserve">S7, S9, S10, S11, S12, S18, S24, S26, S44</t>
  </si>
  <si>
    <t xml:space="preserve">Doctor of Credit: What Credit Bureau Does U.S. Bank Pull?</t>
  </si>
  <si>
    <t xml:space="preserve">Wells Fargo (Card Services)</t>
  </si>
  <si>
    <t xml:space="preserve">Auto (see Wells Fargo Auto), mortgage, retail cards</t>
  </si>
  <si>
    <t xml:space="preserve">Personal and business credit cards; BusinessLine line of credit (up to $150,000); SBA 7(a) and 504</t>
  </si>
  <si>
    <t xml:space="preserve">AZ*, CA, CT, FL*, GA, IA, IL, KY, LA, MA, MN, NC, NH, NV*, NY, OH, OR, PA, SC, TX, WA, WV</t>
  </si>
  <si>
    <t xml:space="preserve">CA, CO, FL*, IL, MI, NC, NY, PA, TX, WA</t>
  </si>
  <si>
    <t xml:space="preserve">CA, FL*, GA*, IL, MA, NC, NJ, OH, PA, TN, TX, VA, WA</t>
  </si>
  <si>
    <t xml:space="preserve">700</t>
  </si>
  <si>
    <t xml:space="preserve">680 for BusinessLine (6 months in business)</t>
  </si>
  <si>
    <t xml:space="preserve">Cards are stated income. BusinessLine up to $150,000 is unsecured and revolving; larger lines require financials.</t>
  </si>
  <si>
    <t xml:space="preserve">Experian about 47%, TransUnion about 37%, Equifax about 16% of 79 datapoints. TransUnion dominated in GA and was common in TX and OH. Double pull reported for customers new to the bank. One new card per 6 months officially. Business cards do not report to personal bureaus.</t>
  </si>
  <si>
    <t xml:space="preserve">S6, S9, S18, S24, S26, S28, S44</t>
  </si>
  <si>
    <t xml:space="preserve">Doctor of Credit: What Credit Bureau Does Wells Fargo Pull?</t>
  </si>
  <si>
    <t xml:space="preserve">Wells Fargo Business Direct (WFB BD CRE)</t>
  </si>
  <si>
    <t xml:space="preserve">Small business credit cards and lines of credit</t>
  </si>
  <si>
    <t xml:space="preserve">AZ*, CA*</t>
  </si>
  <si>
    <t xml:space="preserve">See Wells Fargo.</t>
  </si>
  <si>
    <t xml:space="preserve">Your list shows Experian in AZ and CA, which matches Wells Fargo's national Experian lean.</t>
  </si>
  <si>
    <t xml:space="preserve">S6, S9, S55</t>
  </si>
  <si>
    <t xml:space="preserve">Barclays Bank Delaware</t>
  </si>
  <si>
    <t xml:space="preserve">Personal and co-brand credit cards; a few co-brand business cards</t>
  </si>
  <si>
    <t xml:space="preserve">GA, PA, TX</t>
  </si>
  <si>
    <t xml:space="preserve">CA*, FL*, GA*, MD*, MN, NJ, NM, NV*, NY*, TX</t>
  </si>
  <si>
    <t xml:space="preserve">Stated income.</t>
  </si>
  <si>
    <t xml:space="preserve">TransUnion on roughly 94% of applications. Experian is pulled when TransUnion is frozen and sometimes for limit increases. About one new card per 6 months; 6/24 applied inconsistently. Business cards do not report to personal bureaus.</t>
  </si>
  <si>
    <t xml:space="preserve">S1, S9, S13, S18, S19, S20, S26</t>
  </si>
  <si>
    <t xml:space="preserve">Apple Card (Goldman Sachs Bank USA, moving to Chase)</t>
  </si>
  <si>
    <t xml:space="preserve">Personal credit card</t>
  </si>
  <si>
    <t xml:space="preserve">GA*, NM</t>
  </si>
  <si>
    <t xml:space="preserve">CA*, DE, FL*, GA*, HI*, IL, KY, MA, MD*, MN, MO*, NM, OR, SC, WA</t>
  </si>
  <si>
    <t xml:space="preserve">660-700</t>
  </si>
  <si>
    <t xml:space="preserve">About 620 (community estimate)</t>
  </si>
  <si>
    <t xml:space="preserve">Soft pull preapproval; hard pull only after you accept the offer.</t>
  </si>
  <si>
    <t xml:space="preserve">TransUnion in most states; Equifax sometimes. Goldman Sachs announced in January 2026 that the program is moving to Chase. Chase usually pulls Experian, so the bureau may change after the transition.</t>
  </si>
  <si>
    <t xml:space="preserve">S9, S18, S19, S50</t>
  </si>
  <si>
    <t xml:space="preserve">Elan Financial Services (U.S. Bank subsidiary)</t>
  </si>
  <si>
    <t xml:space="preserve">Agent-issued personal and business credit cards for about 1,400 community banks and credit unions (Fidelity, Webster, Associated, EverBank and others)</t>
  </si>
  <si>
    <t xml:space="preserve">CA, CO, MA, NJ, NY</t>
  </si>
  <si>
    <t xml:space="preserve">FL, GA, MD, MO, NC, WV</t>
  </si>
  <si>
    <t xml:space="preserve">AL, AZ*, CA*, CT, FL*, GA, IL, IN, KY, OH, PA, WA*</t>
  </si>
  <si>
    <t xml:space="preserve">TransUnion is typical; Experian reported in CA, NY, CO, NJ, MA and Equifax in MO, GA, MD, NC, FL. Business cards do not report to personal bureaus while in good standing.</t>
  </si>
  <si>
    <t xml:space="preserve">S9, S12, S14, S18, S25</t>
  </si>
  <si>
    <t xml:space="preserve">02 Regional &amp; Community Banks</t>
  </si>
  <si>
    <t xml:space="preserve">PNC Bank</t>
  </si>
  <si>
    <t xml:space="preserve">Acquired BBVA USA in 2021</t>
  </si>
  <si>
    <t xml:space="preserve">Personal and business credit cards; unsecured business line of credit ($10,000 to $100,000); secured lines; SBA 7(a)</t>
  </si>
  <si>
    <t xml:space="preserve">AZ, CA*, FL*, GA, MA, MI, NJ, NY, PA, SC</t>
  </si>
  <si>
    <t xml:space="preserve">FL*</t>
  </si>
  <si>
    <t xml:space="preserve">FL*, PA</t>
  </si>
  <si>
    <t xml:space="preserve">Unsecured line up to $100,000 has a $175 annual fee and lighter documentation than the secured line.</t>
  </si>
  <si>
    <t xml:space="preserve">Experian in most forum reports (PA, NJ, SC, NY, MI, AZ, GA, MA). One advisory source lists TransUnion then Equifax, so expect variation. Business cards do not report to personal bureaus. Footprint bank.</t>
  </si>
  <si>
    <t xml:space="preserve">S9, S12, S23, S24, S44</t>
  </si>
  <si>
    <t xml:space="preserve">Truist Bank (formerly SunTrust and BB&amp;T)</t>
  </si>
  <si>
    <t xml:space="preserve">LightStream (personal loans), Service Finance (home improvement)</t>
  </si>
  <si>
    <t xml:space="preserve">Personal and business credit cards; business lines and loans</t>
  </si>
  <si>
    <t xml:space="preserve">FL*, MD*, NJ, PA, SC, VA</t>
  </si>
  <si>
    <t xml:space="preserve">Stated income on cards.</t>
  </si>
  <si>
    <t xml:space="preserve">Equifax in forum reports for both personal and business cards. Your list's SunTrust and BB&amp;T rows (Equifax) match. SunTrust and BB&amp;T merged into Truist in December 2019.</t>
  </si>
  <si>
    <t xml:space="preserve">S9, S12, S24, GK</t>
  </si>
  <si>
    <t xml:space="preserve">BBVA USA (defunct, now PNC)</t>
  </si>
  <si>
    <t xml:space="preserve">Was: credit cards and loans</t>
  </si>
  <si>
    <t xml:space="preserve">AL, AZ, CA, FL*, GA</t>
  </si>
  <si>
    <t xml:space="preserve">n/a</t>
  </si>
  <si>
    <t xml:space="preserve">PNC completed its purchase of BBVA USA in June 2021 and converted accounts later that year. Treat any BBVA row as historical and use PNC going forward.</t>
  </si>
  <si>
    <t xml:space="preserve">S9, S54</t>
  </si>
  <si>
    <t xml:space="preserve">BMO (formerly BMO Harris)</t>
  </si>
  <si>
    <t xml:space="preserve">Personal and business credit cards; business lines</t>
  </si>
  <si>
    <t xml:space="preserve">CA</t>
  </si>
  <si>
    <t xml:space="preserve">FL*, KS, MI, NV*</t>
  </si>
  <si>
    <t xml:space="preserve">TransUnion in FL, MI and KS; Experian in CA. Renamed from BMO Harris to BMO in 2023 after acquiring Bank of the West.</t>
  </si>
  <si>
    <t xml:space="preserve">S9, GK</t>
  </si>
  <si>
    <t xml:space="preserve">Fifth Third Bank</t>
  </si>
  <si>
    <t xml:space="preserve">Credit cards; business lines and loans; healthcare practice financing</t>
  </si>
  <si>
    <t xml:space="preserve">MA</t>
  </si>
  <si>
    <t xml:space="preserve">FL</t>
  </si>
  <si>
    <t xml:space="preserve">CA*, FL, IN</t>
  </si>
  <si>
    <t xml:space="preserve">Footprint bank.</t>
  </si>
  <si>
    <t xml:space="preserve">Mixed: TransUnion in FL and IN, Equifax in FL, Experian in MA.</t>
  </si>
  <si>
    <t xml:space="preserve">Low</t>
  </si>
  <si>
    <t xml:space="preserve">S9, S44</t>
  </si>
  <si>
    <t xml:space="preserve">Huntington National Bank</t>
  </si>
  <si>
    <t xml:space="preserve">Credit cards; SBA 7(a) (largest SBA lender by loan count); business lines</t>
  </si>
  <si>
    <t xml:space="preserve">CA*, FL, OH, TX</t>
  </si>
  <si>
    <t xml:space="preserve">About 660</t>
  </si>
  <si>
    <t xml:space="preserve">SBA loans are full doc.</t>
  </si>
  <si>
    <t xml:space="preserve">Equifax in TX, OH and FL. Your CA row (Equifax) fits.</t>
  </si>
  <si>
    <t xml:space="preserve">KeyBank</t>
  </si>
  <si>
    <t xml:space="preserve">Credit cards; business lines and loans</t>
  </si>
  <si>
    <t xml:space="preserve">CA*</t>
  </si>
  <si>
    <t xml:space="preserve">Usually Equifax per CardRight. Your CA row shows Experian, so treat it as mixed.</t>
  </si>
  <si>
    <t xml:space="preserve">S18, S55</t>
  </si>
  <si>
    <t xml:space="preserve">CardRight: List Of Which Credit Bureau Each Bank Pulls</t>
  </si>
  <si>
    <t xml:space="preserve">Citizens Bank (Citizens One, formerly RBS Citizens)</t>
  </si>
  <si>
    <t xml:space="preserve">Auto (see Citizens Auto)</t>
  </si>
  <si>
    <t xml:space="preserve">Credit cards; personal loans; merchant financing (Citizens Pay)</t>
  </si>
  <si>
    <t xml:space="preserve">CA, GA*, MA, PA, VA</t>
  </si>
  <si>
    <t xml:space="preserve">CA*, NV*, NY</t>
  </si>
  <si>
    <t xml:space="preserve">Usually Equifax (PA, VA, CA, MA); TransUnion in NY. RBS Citizens became Citizens Bank, N.A. in 2014.</t>
  </si>
  <si>
    <t xml:space="preserve">S9, S18, GK</t>
  </si>
  <si>
    <t xml:space="preserve">M&amp;T Bank</t>
  </si>
  <si>
    <t xml:space="preserve">Credit cards; direct and indirect consumer loans; business lines</t>
  </si>
  <si>
    <t xml:space="preserve">CA*, MA, MD*</t>
  </si>
  <si>
    <t xml:space="preserve">Usually Experian. Your CA and MD rows (Experian) match. Business card does not report to personal bureaus per one report.</t>
  </si>
  <si>
    <t xml:space="preserve">S9, S18, S23</t>
  </si>
  <si>
    <t xml:space="preserve">Regions Bank</t>
  </si>
  <si>
    <t xml:space="preserve">Credit cards; business lines</t>
  </si>
  <si>
    <t xml:space="preserve">FL*, IL, KY</t>
  </si>
  <si>
    <t xml:space="preserve">TransUnion in KY and IL in the forum grid. Your FL row shows 4 TransUnion datapoints, which matches.</t>
  </si>
  <si>
    <t xml:space="preserve">S9</t>
  </si>
  <si>
    <t xml:space="preserve">First National Bank of Omaha (FNBO)</t>
  </si>
  <si>
    <t xml:space="preserve">Personal and business credit cards (Evergreen and many co-brands)</t>
  </si>
  <si>
    <t xml:space="preserve">CA, FL*, GA, IL, KS, MA, MD, NJ, NY, PA, WA</t>
  </si>
  <si>
    <t xml:space="preserve">CA, KS</t>
  </si>
  <si>
    <t xml:space="preserve">Experian in 11 states; Equifax in CA and KS. Your FL row (Experian) matches. Business cards do not report to personal bureaus per one source.</t>
  </si>
  <si>
    <t xml:space="preserve">S9, S12, S23, S25</t>
  </si>
  <si>
    <t xml:space="preserve">TD Bank</t>
  </si>
  <si>
    <t xml:space="preserve">Auto (TD Auto Finance), Target card</t>
  </si>
  <si>
    <t xml:space="preserve">FL*, KS, MA, NJ, PA, SC, WA*</t>
  </si>
  <si>
    <t xml:space="preserve">ID</t>
  </si>
  <si>
    <t xml:space="preserve">Experian in FL, SC, PA, MA, KS, NJ. Your FL (Experian, 3 datapoints) and WA (Experian) rows match. TD business cards report to personal bureaus.</t>
  </si>
  <si>
    <t xml:space="preserve">HSBC Bank USA</t>
  </si>
  <si>
    <t xml:space="preserve">Added</t>
  </si>
  <si>
    <t xml:space="preserve">Credit cards for Premier clients; personal loans (limited)</t>
  </si>
  <si>
    <t xml:space="preserve">PA</t>
  </si>
  <si>
    <t xml:space="preserve">CA, GA, ID, PA, SC</t>
  </si>
  <si>
    <t xml:space="preserve">No</t>
  </si>
  <si>
    <t xml:space="preserve">Usually Equifax. HSBC sold most of its US mass-market retail branches in 2021 and 2022; products are now aimed at international and Premier clients.</t>
  </si>
  <si>
    <t xml:space="preserve">S9, S16, S18, GK</t>
  </si>
  <si>
    <t xml:space="preserve">Synovus Bank</t>
  </si>
  <si>
    <t xml:space="preserve">Credit cards; business lending (Southeast)</t>
  </si>
  <si>
    <t xml:space="preserve">FL, GA, SC</t>
  </si>
  <si>
    <t xml:space="preserve">Equifax in FL, GA and SC.</t>
  </si>
  <si>
    <t xml:space="preserve">Zions Bancorporation banks (Nevada State Bank, Amegy, California Bank &amp; Trust, National Bank of Arizona, Vectra, Zions)</t>
  </si>
  <si>
    <t xml:space="preserve">AmaZing personal and business credit cards; business lines</t>
  </si>
  <si>
    <t xml:space="preserve">TX</t>
  </si>
  <si>
    <t xml:space="preserve">Experian in the forum grid. AmaZing business cards do not report to personal bureaus.</t>
  </si>
  <si>
    <t xml:space="preserve">S9, S23</t>
  </si>
  <si>
    <t xml:space="preserve">First Citizens Bank</t>
  </si>
  <si>
    <t xml:space="preserve">Business credit cards and lines</t>
  </si>
  <si>
    <t xml:space="preserve">Not documented</t>
  </si>
  <si>
    <t xml:space="preserve">Named in stacking guides as a second-tier 0% business card (9 to 12 months). Bureau not documented in the sources reviewed.</t>
  </si>
  <si>
    <t xml:space="preserve">S24</t>
  </si>
  <si>
    <t xml:space="preserve">Stacking Capital: Complete Guide to 0% Interest Business Funding</t>
  </si>
  <si>
    <t xml:space="preserve">Banco Popular (BPPR white label)</t>
  </si>
  <si>
    <t xml:space="preserve">Credit cards and private-label programs</t>
  </si>
  <si>
    <t xml:space="preserve">Varies</t>
  </si>
  <si>
    <t xml:space="preserve">DE*</t>
  </si>
  <si>
    <t xml:space="preserve">Your DE row shows TransUnion. No outside datapoints found.</t>
  </si>
  <si>
    <t xml:space="preserve">S55</t>
  </si>
  <si>
    <t xml:space="preserve">Your original Inquiry Database (All States &amp; Banks tab)</t>
  </si>
  <si>
    <t xml:space="preserve">TAB Bank (Transportation Alliance Bank)</t>
  </si>
  <si>
    <t xml:space="preserve">Factoring</t>
  </si>
  <si>
    <t xml:space="preserve">Bank partner for fintech lenders and cards (Mission Lane and others); trucking and small business lending</t>
  </si>
  <si>
    <t xml:space="preserve">Your FL row shows Experian. TAB Bank is usually the issuing bank behind a fintech brand.</t>
  </si>
  <si>
    <t xml:space="preserve">S55, GK</t>
  </si>
  <si>
    <t xml:space="preserve">Bank of Stockton</t>
  </si>
  <si>
    <t xml:space="preserve">Community bank loans and lines (California)</t>
  </si>
  <si>
    <t xml:space="preserve">Your CA row shows Experian. No outside datapoints found.</t>
  </si>
  <si>
    <t xml:space="preserve">Community banks in your FL rows (Ohio Valley, Peoples Bank, United Bank, WesBanco)</t>
  </si>
  <si>
    <t xml:space="preserve">Community bank cards and loans</t>
  </si>
  <si>
    <t xml:space="preserve">All four rows show TransUnion. These are Ohio Valley and Mid-Atlantic banks, and many small banks issue cards through Elan, which typically pulls TransUnion.</t>
  </si>
  <si>
    <t xml:space="preserve">S55, S25</t>
  </si>
  <si>
    <t xml:space="preserve">03 Credit Unions</t>
  </si>
  <si>
    <t xml:space="preserve">Navy Federal Credit Union</t>
  </si>
  <si>
    <t xml:space="preserve">Membership limited to military, veterans, DoD and family</t>
  </si>
  <si>
    <t xml:space="preserve">Credit cards; secured card; personal loans; checking line of credit; auto; mortgage; business cards and lines</t>
  </si>
  <si>
    <t xml:space="preserve">CA*, FL, TX</t>
  </si>
  <si>
    <t xml:space="preserve">CA*, FL, MO*, SC</t>
  </si>
  <si>
    <t xml:space="preserve">CA*, DE, FL, GA, IL, IN*, MA, MO*, NJ, NY, SC, TX, VA, WA*</t>
  </si>
  <si>
    <t xml:space="preserve">650-700</t>
  </si>
  <si>
    <t xml:space="preserve">No published minimum; approvals lean heavily on internal relationship score</t>
  </si>
  <si>
    <t xml:space="preserve">Stated income on cards. Business accounts need membership first; business lending is relationship based.</t>
  </si>
  <si>
    <t xml:space="preserve">New card applications: TransUnion (FICO 9). Limit increases and the checking line of credit historically used Equifax, shifting to TransUnion. First-time applicants sometimes get a double pull. Your rows (CA, IN, MO, WA) show TransUnion most often with some Equifax and Experian, which matches. Business cards do not report to personal bureaus per one source.</t>
  </si>
  <si>
    <t xml:space="preserve">S9, S14, S17, S19, S23</t>
  </si>
  <si>
    <t xml:space="preserve">PenFed Credit Union (Pentagon FCU)</t>
  </si>
  <si>
    <t xml:space="preserve">Open membership</t>
  </si>
  <si>
    <t xml:space="preserve">Credit cards; personal loans; personal line of credit; auto; mortgage</t>
  </si>
  <si>
    <t xml:space="preserve">CA, FL*, GA, IL, IN, KY, NJ, NY, PA, SC, WA</t>
  </si>
  <si>
    <t xml:space="preserve">About 650</t>
  </si>
  <si>
    <t xml:space="preserve">Stated income; income verification is requested on some loans.</t>
  </si>
  <si>
    <t xml:space="preserve">Equifax in 11 states in the forum grid. Your FL row (Equifax) matches.</t>
  </si>
  <si>
    <t xml:space="preserve">S9, S14, S15</t>
  </si>
  <si>
    <t xml:space="preserve">Digital Federal Credit Union (DCU)</t>
  </si>
  <si>
    <t xml:space="preserve">Credit cards; personal loans; auto</t>
  </si>
  <si>
    <t xml:space="preserve">MA, VA</t>
  </si>
  <si>
    <t xml:space="preserve">NJ</t>
  </si>
  <si>
    <t xml:space="preserve">About 640</t>
  </si>
  <si>
    <t xml:space="preserve">Equifax for cards; loans can pull any of the three.</t>
  </si>
  <si>
    <t xml:space="preserve">S9, S15</t>
  </si>
  <si>
    <t xml:space="preserve">Alliant Credit Union</t>
  </si>
  <si>
    <t xml:space="preserve">CA*, MA</t>
  </si>
  <si>
    <t xml:space="preserve">TransUnion in the 2023 grid and in your CA row; an older 2016 report says Equifax.</t>
  </si>
  <si>
    <t xml:space="preserve">S9, S14, S55</t>
  </si>
  <si>
    <t xml:space="preserve">First Tech Federal Credit Union</t>
  </si>
  <si>
    <t xml:space="preserve">Credit cards; personal loans; personal line of credit</t>
  </si>
  <si>
    <t xml:space="preserve">NY</t>
  </si>
  <si>
    <t xml:space="preserve">Experian in the forum grid.</t>
  </si>
  <si>
    <t xml:space="preserve">BECU</t>
  </si>
  <si>
    <t xml:space="preserve">Credit cards; personal loans; business lending (WA)</t>
  </si>
  <si>
    <t xml:space="preserve">SC</t>
  </si>
  <si>
    <t xml:space="preserve">Forum grid lists TransUnion FICO 8 as the usual score with one Equifax datapoint.</t>
  </si>
  <si>
    <t xml:space="preserve">USAA (Federal Savings Bank / Savings Bank)</t>
  </si>
  <si>
    <t xml:space="preserve">Member-owned bank, military affiliation required</t>
  </si>
  <si>
    <t xml:space="preserve">CO*, FL, GA, IL, MD*, NV*, NY, WA</t>
  </si>
  <si>
    <t xml:space="preserve">Experian in six states in the forum grid. Your CO, MD and NV rows (Experian) match.</t>
  </si>
  <si>
    <t xml:space="preserve">S9, S55</t>
  </si>
  <si>
    <t xml:space="preserve">SchoolsFirst FCU</t>
  </si>
  <si>
    <t xml:space="preserve">Credit cards; personal and auto loans (California school employees)</t>
  </si>
  <si>
    <t xml:space="preserve">AZ*</t>
  </si>
  <si>
    <t xml:space="preserve">Your AZ row shows Experian. No outside datapoints found.</t>
  </si>
  <si>
    <t xml:space="preserve">Golden 1 Credit Union</t>
  </si>
  <si>
    <t xml:space="preserve">Credit cards; personal and auto loans (California)</t>
  </si>
  <si>
    <t xml:space="preserve">CA*, IN*</t>
  </si>
  <si>
    <t xml:space="preserve">Your CA and IN rows show Experian. No outside datapoints found.</t>
  </si>
  <si>
    <t xml:space="preserve">Affinity Federal Credit Union</t>
  </si>
  <si>
    <t xml:space="preserve">Credit cards; personal line of credit</t>
  </si>
  <si>
    <t xml:space="preserve">DE*, IN, MA, MD*</t>
  </si>
  <si>
    <t xml:space="preserve">Experian in the forum grid and in your DE and MD rows.</t>
  </si>
  <si>
    <t xml:space="preserve">SECU (Maryland)</t>
  </si>
  <si>
    <t xml:space="preserve">Credit cards; personal and auto loans</t>
  </si>
  <si>
    <t xml:space="preserve">AL, MD*</t>
  </si>
  <si>
    <t xml:space="preserve">Equifax in forum reports and in your MD row.</t>
  </si>
  <si>
    <t xml:space="preserve">S9, S15, S55</t>
  </si>
  <si>
    <t xml:space="preserve">Interior Federal Credit Union (Dept of Interior FCU)</t>
  </si>
  <si>
    <t xml:space="preserve">Credit cards; personal loans</t>
  </si>
  <si>
    <t xml:space="preserve">Equifax per forum reports and your FL row.</t>
  </si>
  <si>
    <t xml:space="preserve">S15, S55</t>
  </si>
  <si>
    <t xml:space="preserve">myFICO Forums: Good credit union that pulls Equifax</t>
  </si>
  <si>
    <t xml:space="preserve">Liberty FCU (formerly Evansville Teachers FCU)</t>
  </si>
  <si>
    <t xml:space="preserve">IN, NV*</t>
  </si>
  <si>
    <t xml:space="preserve">TransUnion in the forum grid and in your NV row.</t>
  </si>
  <si>
    <t xml:space="preserve">Veridian Credit Union (Iowa)</t>
  </si>
  <si>
    <t xml:space="preserve">Credit cards; auto loans</t>
  </si>
  <si>
    <t xml:space="preserve">KS, NV*</t>
  </si>
  <si>
    <t xml:space="preserve">Elements Financial FCU</t>
  </si>
  <si>
    <t xml:space="preserve">NV*</t>
  </si>
  <si>
    <t xml:space="preserve">Your NV row shows Equifax. No outside datapoints found.</t>
  </si>
  <si>
    <t xml:space="preserve">WestStar Credit Union (Nevada)</t>
  </si>
  <si>
    <t xml:space="preserve">Your NV row shows Experian. No outside datapoints found.</t>
  </si>
  <si>
    <t xml:space="preserve">Other credit unions in your NV rows (Collins Cred, VCU Lending)</t>
  </si>
  <si>
    <t xml:space="preserve">Unclear, likely credit union loans</t>
  </si>
  <si>
    <t xml:space="preserve">Both rows show TransUnion. The names could not be matched to a specific lender.</t>
  </si>
  <si>
    <t xml:space="preserve">Patelco Credit Union</t>
  </si>
  <si>
    <t xml:space="preserve">Personal loans ($300 to $100,000); credit cards</t>
  </si>
  <si>
    <t xml:space="preserve">CA, IN</t>
  </si>
  <si>
    <t xml:space="preserve">690</t>
  </si>
  <si>
    <t xml:space="preserve">630 for personal loans</t>
  </si>
  <si>
    <t xml:space="preserve">Experian in CA and IN.</t>
  </si>
  <si>
    <t xml:space="preserve">S9, S30</t>
  </si>
  <si>
    <t xml:space="preserve">NASA Federal Credit Union</t>
  </si>
  <si>
    <t xml:space="preserve">Experian in forum reports.</t>
  </si>
  <si>
    <t xml:space="preserve">S9, S14</t>
  </si>
  <si>
    <t xml:space="preserve">Langley Federal Credit Union</t>
  </si>
  <si>
    <t xml:space="preserve">IN, OR, PA, SC</t>
  </si>
  <si>
    <t xml:space="preserve">Equifax in forum reports.</t>
  </si>
  <si>
    <t xml:space="preserve">AOD Federal Credit Union</t>
  </si>
  <si>
    <t xml:space="preserve">Credit cards (uses a mortgage score, Equifax FICO 5)</t>
  </si>
  <si>
    <t xml:space="preserve">AL, CA, CO, FL, IL, IN, LA, NJ, NV, NY, PA, SC</t>
  </si>
  <si>
    <t xml:space="preserve">Equifax in 12 states including NV and CA.</t>
  </si>
  <si>
    <t xml:space="preserve">Lake Michigan Credit Union</t>
  </si>
  <si>
    <t xml:space="preserve">IN</t>
  </si>
  <si>
    <t xml:space="preserve">Experian in the 2023 grid; an older report suggests TransUnion.</t>
  </si>
  <si>
    <t xml:space="preserve">Consumers Credit Union</t>
  </si>
  <si>
    <t xml:space="preserve">KS</t>
  </si>
  <si>
    <t xml:space="preserve">TransUnion in forum reports.</t>
  </si>
  <si>
    <t xml:space="preserve">Randolph-Brooks FCU (RBFCU)</t>
  </si>
  <si>
    <t xml:space="preserve">Credit cards; personal and auto loans (Texas)</t>
  </si>
  <si>
    <t xml:space="preserve">TransUnion for all products per a 2016 forum report.</t>
  </si>
  <si>
    <t xml:space="preserve">S14</t>
  </si>
  <si>
    <t xml:space="preserve">myFICO Forums: What credit unions use TransUnion for credit cards / PLOCs</t>
  </si>
  <si>
    <t xml:space="preserve">Service Credit Union</t>
  </si>
  <si>
    <t xml:space="preserve">State Department FCU</t>
  </si>
  <si>
    <t xml:space="preserve">Open membership via association</t>
  </si>
  <si>
    <t xml:space="preserve">Credit cards; secured card</t>
  </si>
  <si>
    <t xml:space="preserve">IN, NC, PA</t>
  </si>
  <si>
    <t xml:space="preserve">660</t>
  </si>
  <si>
    <t xml:space="preserve">About 620</t>
  </si>
  <si>
    <t xml:space="preserve">Experian in NC, PA and IN.</t>
  </si>
  <si>
    <t xml:space="preserve">Redstone Federal Credit Union</t>
  </si>
  <si>
    <t xml:space="preserve">FL, IN, KS</t>
  </si>
  <si>
    <t xml:space="preserve">Experian in KS, IN and FL.</t>
  </si>
  <si>
    <t xml:space="preserve">04 Retail / Store Card Issuers</t>
  </si>
  <si>
    <t xml:space="preserve">Synchrony Bank (Amazon, PayPal, Lowe's, Old Navy, HSN, CareCredit and others)</t>
  </si>
  <si>
    <t xml:space="preserve">Store credit cards; co-brand cards; promotional financing; business store cards</t>
  </si>
  <si>
    <t xml:space="preserve">FL*, IL, MA, MD*, NC, NJ, NV, NY, PA, TX, VA, WA</t>
  </si>
  <si>
    <t xml:space="preserve">CO*, DE*, HI*, MD*, NC, TX</t>
  </si>
  <si>
    <t xml:space="preserve">CA*, DE*, FL*, GA*, HI*, ID, IL, IN, KS, KY, MD*, MN, NC, NJ, NV, NY, OH, PA, SC, TX*, VA, WA*</t>
  </si>
  <si>
    <t xml:space="preserve">640-680</t>
  </si>
  <si>
    <t xml:space="preserve">About 600 to 640</t>
  </si>
  <si>
    <t xml:space="preserve">Stated income; soft pull prequalification on most cards.</t>
  </si>
  <si>
    <t xml:space="preserve">TransUnion by default; Experian has been common since 2019; Equifax when risk flags appear. Your 19 Synchrony rows show TransUnion 12 times, Equifax 5, Experian 4, which fits.</t>
  </si>
  <si>
    <t xml:space="preserve">S9, S13, S18, S19, S55</t>
  </si>
  <si>
    <t xml:space="preserve">Citi Retail Services (Home Depot THD, Macy's DSNB, NTB, Best Buy and others)</t>
  </si>
  <si>
    <t xml:space="preserve">Store credit cards; commercial revolving accounts</t>
  </si>
  <si>
    <t xml:space="preserve">CA*, FL, GA, IL, MD*, PA, SC</t>
  </si>
  <si>
    <t xml:space="preserve">CA*, IL, MD*</t>
  </si>
  <si>
    <t xml:space="preserve">Experian for Macy's in most states; Equifax typical for other Citi co-brands per forum reports. Your rows: Home Depot Experian (CA) and Equifax (MD), Macy's Experian (MD), NTB Equifax (CA).</t>
  </si>
  <si>
    <t xml:space="preserve">S9, S12, S55</t>
  </si>
  <si>
    <t xml:space="preserve">Comenity / Bread Financial (Sephora, BJ's, Wayfair and others)</t>
  </si>
  <si>
    <t xml:space="preserve">Store credit cards; co-brand Visa and Mastercard</t>
  </si>
  <si>
    <t xml:space="preserve">FL, GA, IL, MA, MD*, NC, NJ, NY, PA, TX</t>
  </si>
  <si>
    <t xml:space="preserve">GA*, IN, MA, MD*, NC, NJ*, OH, PA</t>
  </si>
  <si>
    <t xml:space="preserve">620-660</t>
  </si>
  <si>
    <t xml:space="preserve">About 580 to 600</t>
  </si>
  <si>
    <t xml:space="preserve">Stated income; pre-screened soft pull offers at checkout are widely reported.</t>
  </si>
  <si>
    <t xml:space="preserve">Co-brand Visa and Mastercard cards usually pull Experian; store-only cards usually pull Equifax. Your Sephora, BJ's and Wayfair rows (Equifax) fit the store-card pattern.</t>
  </si>
  <si>
    <t xml:space="preserve">TD Bank (Target Circle Card)</t>
  </si>
  <si>
    <t xml:space="preserve">Store credit card</t>
  </si>
  <si>
    <t xml:space="preserve">MN</t>
  </si>
  <si>
    <t xml:space="preserve">CA, CT, FL, GA, IL, MA, MD*, NJ, PA, SC</t>
  </si>
  <si>
    <t xml:space="preserve">650</t>
  </si>
  <si>
    <t xml:space="preserve">About 615</t>
  </si>
  <si>
    <t xml:space="preserve">Equifax in 10 states in the forum grid and in your MD row. One 2026 article says TransUnion only, which conflicts with the member data.</t>
  </si>
  <si>
    <t xml:space="preserve">S9, S19, S55</t>
  </si>
  <si>
    <t xml:space="preserve">Capital One retail cards (Kohl's, Cabela's / Bass Pro)</t>
  </si>
  <si>
    <t xml:space="preserve">Store and co-brand credit cards</t>
  </si>
  <si>
    <t xml:space="preserve">DE*, MD*</t>
  </si>
  <si>
    <t xml:space="preserve">640</t>
  </si>
  <si>
    <t xml:space="preserve">About 600</t>
  </si>
  <si>
    <t xml:space="preserve">Capital One normally pulls more than one bureau. Your Kohl's and Cabela's rows show Experian, Equifax and TransUnion across DE and MD.</t>
  </si>
  <si>
    <t xml:space="preserve">Wells Fargo retail cards (Dillard's)</t>
  </si>
  <si>
    <t xml:space="preserve">MD*</t>
  </si>
  <si>
    <t xml:space="preserve">Your MD Dillard's row shows TransUnion.</t>
  </si>
  <si>
    <t xml:space="preserve">05 Subprime &amp; Credit-Builder Products</t>
  </si>
  <si>
    <t xml:space="preserve">Credit One Bank</t>
  </si>
  <si>
    <t xml:space="preserve">Unsecured credit cards for fair and rebuilding credit</t>
  </si>
  <si>
    <t xml:space="preserve">CA*, FL*, NJ, PA, WA</t>
  </si>
  <si>
    <t xml:space="preserve">580-650</t>
  </si>
  <si>
    <t xml:space="preserve">About 550 (community estimate)</t>
  </si>
  <si>
    <t xml:space="preserve">Soft pull prequalification.</t>
  </si>
  <si>
    <t xml:space="preserve">Experian in the forum grid and in your CA and FL rows. Annual fees are common.</t>
  </si>
  <si>
    <t xml:space="preserve">First Premier Bank</t>
  </si>
  <si>
    <t xml:space="preserve">Fee-heavy unsecured cards for bad credit</t>
  </si>
  <si>
    <t xml:space="preserve">DE*, FL*, MD*</t>
  </si>
  <si>
    <t xml:space="preserve">500-600</t>
  </si>
  <si>
    <t xml:space="preserve">No real minimum</t>
  </si>
  <si>
    <t xml:space="preserve">All three of your rows (DE, FL, MD) show Equifax. High program and monthly fees; generally a last resort.</t>
  </si>
  <si>
    <t xml:space="preserve">Mission Lane (issued by TAB Bank or WebBank)</t>
  </si>
  <si>
    <t xml:space="preserve">Unsecured credit cards for fair credit</t>
  </si>
  <si>
    <t xml:space="preserve">DE*, KS, NJ, WA</t>
  </si>
  <si>
    <t xml:space="preserve">580-660</t>
  </si>
  <si>
    <t xml:space="preserve">About 550</t>
  </si>
  <si>
    <t xml:space="preserve">TransUnion in the forum grid and in your DE row (ML TAB Bank).</t>
  </si>
  <si>
    <t xml:space="preserve">Fortiva / The Bank of Missouri (FRC/TBOM)</t>
  </si>
  <si>
    <t xml:space="preserve">Subprime credit cards and retail financing</t>
  </si>
  <si>
    <t xml:space="preserve">550-620</t>
  </si>
  <si>
    <t xml:space="preserve">About 500</t>
  </si>
  <si>
    <t xml:space="preserve">Your MD row shows Equifax.</t>
  </si>
  <si>
    <t xml:space="preserve">Merrick Bank</t>
  </si>
  <si>
    <t xml:space="preserve">Secured and unsecured cards for rebuilding credit</t>
  </si>
  <si>
    <t xml:space="preserve">NJ, PA</t>
  </si>
  <si>
    <t xml:space="preserve">550-640</t>
  </si>
  <si>
    <t xml:space="preserve">TransUnion in PA and NJ.</t>
  </si>
  <si>
    <t xml:space="preserve">First Savings Bank (Blaze Mastercard)</t>
  </si>
  <si>
    <t xml:space="preserve">Subprime credit card</t>
  </si>
  <si>
    <t xml:space="preserve">MD*, PA</t>
  </si>
  <si>
    <t xml:space="preserve">TransUnion in the forum grid and in your MD row (1st Savings).</t>
  </si>
  <si>
    <t xml:space="preserve">Celtic Bank (Indigo, Reflex and similar)</t>
  </si>
  <si>
    <t xml:space="preserve">Subprime credit cards</t>
  </si>
  <si>
    <t xml:space="preserve">TransUnion in the forum grid.</t>
  </si>
  <si>
    <t xml:space="preserve">Mercury Mastercard (First Bank &amp; Trust)</t>
  </si>
  <si>
    <t xml:space="preserve">Fair-credit credit card</t>
  </si>
  <si>
    <t xml:space="preserve">600-670</t>
  </si>
  <si>
    <t xml:space="preserve">About 575</t>
  </si>
  <si>
    <t xml:space="preserve">TransUnion in the forum grid. Not related to Mercury business banking.</t>
  </si>
  <si>
    <t xml:space="preserve">Capital One Platinum Secured</t>
  </si>
  <si>
    <t xml:space="preserve">Secured credit card</t>
  </si>
  <si>
    <t xml:space="preserve">Recommended for 300-629</t>
  </si>
  <si>
    <t xml:space="preserve">None published</t>
  </si>
  <si>
    <t xml:space="preserve">Refundable deposit of $49, $99 or $200. No income documents.</t>
  </si>
  <si>
    <t xml:space="preserve">Reports to all three bureaus. Reviewed for upgrade after about 6 months.</t>
  </si>
  <si>
    <t xml:space="preserve">S42</t>
  </si>
  <si>
    <t xml:space="preserve">NerdWallet: Best Credit Cards to Build Credit</t>
  </si>
  <si>
    <t xml:space="preserve">Discover it Secured</t>
  </si>
  <si>
    <t xml:space="preserve">Thin or rebuilding files</t>
  </si>
  <si>
    <t xml:space="preserve">$200 minimum deposit.</t>
  </si>
  <si>
    <t xml:space="preserve">Reports to all three bureaus.</t>
  </si>
  <si>
    <t xml:space="preserve">OpenSky Plus Secured Visa (Capital Bank)</t>
  </si>
  <si>
    <t xml:space="preserve">Secured credit card with no credit check</t>
  </si>
  <si>
    <t xml:space="preserve">No hard pull</t>
  </si>
  <si>
    <t xml:space="preserve">Any (300-850)</t>
  </si>
  <si>
    <t xml:space="preserve">None, no credit check</t>
  </si>
  <si>
    <t xml:space="preserve">$300 minimum deposit; no bank account required; no hard pull.</t>
  </si>
  <si>
    <t xml:space="preserve">Chime Secured Credit Builder Visa (Bancorp or Stride Bank)</t>
  </si>
  <si>
    <t xml:space="preserve">Secured charge-style card with no credit check</t>
  </si>
  <si>
    <t xml:space="preserve">Any</t>
  </si>
  <si>
    <t xml:space="preserve">Requires a Chime checking account; limit equals money moved to the card.</t>
  </si>
  <si>
    <t xml:space="preserve">Reports to all three bureaus. No hard pull.</t>
  </si>
  <si>
    <t xml:space="preserve">Current Build Card</t>
  </si>
  <si>
    <t xml:space="preserve">Secured builder card with no credit check</t>
  </si>
  <si>
    <t xml:space="preserve">Any (350-850)</t>
  </si>
  <si>
    <t xml:space="preserve">None</t>
  </si>
  <si>
    <t xml:space="preserve">$1 deposit; no credit check.</t>
  </si>
  <si>
    <t xml:space="preserve">Tilt Motion (WebBank)</t>
  </si>
  <si>
    <t xml:space="preserve">Unsecured card for limited credit history</t>
  </si>
  <si>
    <t xml:space="preserve">300-719</t>
  </si>
  <si>
    <t xml:space="preserve">No deposit; uses cash flow data.</t>
  </si>
  <si>
    <t xml:space="preserve">AvantCard (WebBank)</t>
  </si>
  <si>
    <t xml:space="preserve">Unsecured card for fair credit</t>
  </si>
  <si>
    <t xml:space="preserve">550-719</t>
  </si>
  <si>
    <t xml:space="preserve">Reports to all three bureaus. Not available in every state.</t>
  </si>
  <si>
    <t xml:space="preserve">Credit builder loans (Self, Credit Strong, Kikoff)</t>
  </si>
  <si>
    <t xml:space="preserve">Credit builder installment loans and tradelines</t>
  </si>
  <si>
    <t xml:space="preserve">None, no hard pull</t>
  </si>
  <si>
    <t xml:space="preserve">No credit check; you fund the savings as you pay.</t>
  </si>
  <si>
    <t xml:space="preserve">Report to the bureaus as installment or revolving tradelines. Used to add positive history before applying for real credit.</t>
  </si>
  <si>
    <t xml:space="preserve">GK</t>
  </si>
  <si>
    <t xml:space="preserve">General knowledge, not re-verified in this research pass</t>
  </si>
  <si>
    <t xml:space="preserve">06 Fintech &amp; Corporate Business Cards</t>
  </si>
  <si>
    <t xml:space="preserve">Brex (acquired by Capital One, April 2026)</t>
  </si>
  <si>
    <t xml:space="preserve">Corporate charge card and spend platform</t>
  </si>
  <si>
    <t xml:space="preserve">Not score based</t>
  </si>
  <si>
    <t xml:space="preserve">No personal credit check</t>
  </si>
  <si>
    <t xml:space="preserve">No personal guarantee. Needs a registered LLC, corporation or LP with EIN and about $50,000 in cash if funded, or $1M+ annual revenue. Underwritten on linked bank balances.</t>
  </si>
  <si>
    <t xml:space="preserve">No hard pull and no personal reporting. Terms may change after the Capital One acquisition. Sole proprietors are not eligible.</t>
  </si>
  <si>
    <t xml:space="preserve">S33, S34, S51</t>
  </si>
  <si>
    <t xml:space="preserve">NerdWallet: Best Business Credit Cards With No Personal Credit Check</t>
  </si>
  <si>
    <t xml:space="preserve">Ramp</t>
  </si>
  <si>
    <t xml:space="preserve">No personal guarantee. Needs an EIN and $25,000 in a US business bank account. Underwritten on linked bank balances.</t>
  </si>
  <si>
    <t xml:space="preserve">No hard pull. Does not report to personal bureaus.</t>
  </si>
  <si>
    <t xml:space="preserve">S23, S33, S34</t>
  </si>
  <si>
    <t xml:space="preserve">Doctor of Credit: All You Need to Know about Credit Reporting on Business Cards</t>
  </si>
  <si>
    <t xml:space="preserve">BILL Divvy Corporate Card</t>
  </si>
  <si>
    <t xml:space="preserve">Corporate card with spend management</t>
  </si>
  <si>
    <t xml:space="preserve">Soft pull to start (community reports)</t>
  </si>
  <si>
    <t xml:space="preserve">The one corporate card open to sole proprietors and unincorporated businesses. Bank connection required.</t>
  </si>
  <si>
    <t xml:space="preserve">Reports to business bureaus.</t>
  </si>
  <si>
    <t xml:space="preserve">S33</t>
  </si>
  <si>
    <t xml:space="preserve">Capital on Tap Business Credit Card (WebBank)</t>
  </si>
  <si>
    <t xml:space="preserve">Business credit card</t>
  </si>
  <si>
    <t xml:space="preserve">About 670 (community estimate)</t>
  </si>
  <si>
    <t xml:space="preserve">Soft pull only to check eligibility. Stated revenue.</t>
  </si>
  <si>
    <t xml:space="preserve">Personal guarantee required.</t>
  </si>
  <si>
    <t xml:space="preserve">Nav Prime</t>
  </si>
  <si>
    <t xml:space="preserve">Business charge card plus tradeline reporting</t>
  </si>
  <si>
    <t xml:space="preserve">Subscription product; requires a linked business checking account.</t>
  </si>
  <si>
    <t xml:space="preserve">Used mainly to add reporting business tradelines.</t>
  </si>
  <si>
    <t xml:space="preserve">PayPal Business Cashback Mastercard (WebBank)</t>
  </si>
  <si>
    <t xml:space="preserve">Does not report to personal bureaus per a reader report.</t>
  </si>
  <si>
    <t xml:space="preserve">S23</t>
  </si>
  <si>
    <t xml:space="preserve">Bank of America Business Advantage Unlimited Cash Rewards Secured</t>
  </si>
  <si>
    <t xml:space="preserve">Secured business credit card</t>
  </si>
  <si>
    <t xml:space="preserve">Rebuilding</t>
  </si>
  <si>
    <t xml:space="preserve">Low scores accepted; deposit sets the limit</t>
  </si>
  <si>
    <t xml:space="preserve">Security deposit sets the limit.</t>
  </si>
  <si>
    <t xml:space="preserve">A way to start a Bank of America business relationship with weak credit.</t>
  </si>
  <si>
    <t xml:space="preserve">07 Online Business Lenders (Lines &amp; Term Loans)</t>
  </si>
  <si>
    <t xml:space="preserve">Fundbox</t>
  </si>
  <si>
    <t xml:space="preserve">Business line of credit up to $250,000</t>
  </si>
  <si>
    <t xml:space="preserve">600</t>
  </si>
  <si>
    <t xml:space="preserve">Connect a business checking account with 3 months of transactions. No tax returns. 3 months in business and $30,000 revenue.</t>
  </si>
  <si>
    <t xml:space="preserve">Soft pull to see offers. Weekly repayment. Often named the easiest line of credit for young businesses.</t>
  </si>
  <si>
    <t xml:space="preserve">S27, S28, S29, S40</t>
  </si>
  <si>
    <t xml:space="preserve">LendingTree: Best No-Doc and Low-Doc Business Loans</t>
  </si>
  <si>
    <t xml:space="preserve">OnDeck</t>
  </si>
  <si>
    <t xml:space="preserve">Short-term loans ($5,000 to $400,000) and line of credit up to $200,000</t>
  </si>
  <si>
    <t xml:space="preserve">625</t>
  </si>
  <si>
    <t xml:space="preserve">Last 3 months of business bank statements, EIN and owner SSN. 12 months in business and $100,000 revenue.</t>
  </si>
  <si>
    <t xml:space="preserve">No bankruptcies in the past 2 years. Reports to business bureaus.</t>
  </si>
  <si>
    <t xml:space="preserve">S27, S28</t>
  </si>
  <si>
    <t xml:space="preserve">Bluevine</t>
  </si>
  <si>
    <t xml:space="preserve">Business checking</t>
  </si>
  <si>
    <t xml:space="preserve">Business line of credit up to $200,000</t>
  </si>
  <si>
    <t xml:space="preserve">Bank connection or statements. 12 months in business and $120,000 revenue.</t>
  </si>
  <si>
    <t xml:space="preserve">Weekly payments. Some state exclusions.</t>
  </si>
  <si>
    <t xml:space="preserve">S28</t>
  </si>
  <si>
    <t xml:space="preserve">NerdWallet: Best Business Lines of Credit</t>
  </si>
  <si>
    <t xml:space="preserve">Headway Capital</t>
  </si>
  <si>
    <t xml:space="preserve">Business line of credit up to $100,000</t>
  </si>
  <si>
    <t xml:space="preserve">About 625 (estimate)</t>
  </si>
  <si>
    <t xml:space="preserve">6 months in business; suited to lower-revenue businesses.</t>
  </si>
  <si>
    <t xml:space="preserve">S29</t>
  </si>
  <si>
    <t xml:space="preserve">NerdWallet: Best Startup Business Lines of Credit</t>
  </si>
  <si>
    <t xml:space="preserve">American Express Business Line of Credit</t>
  </si>
  <si>
    <t xml:space="preserve">See American Express</t>
  </si>
  <si>
    <t xml:space="preserve">Business line of credit $2,000 to $250,000</t>
  </si>
  <si>
    <t xml:space="preserve">1 year in business, $3,000 average monthly revenue, business checking account. No tax returns at application.</t>
  </si>
  <si>
    <t xml:space="preserve">S45</t>
  </si>
  <si>
    <t xml:space="preserve">Bankrate: American Express Business Line of Credit review</t>
  </si>
  <si>
    <t xml:space="preserve">Quantum Lending Solutions</t>
  </si>
  <si>
    <t xml:space="preserve">Business line of credit up to $150,000</t>
  </si>
  <si>
    <t xml:space="preserve">12 months in business and $50,000 revenue.</t>
  </si>
  <si>
    <t xml:space="preserve">Monthly payments; no prepayment penalty.</t>
  </si>
  <si>
    <t xml:space="preserve">SBG Funding</t>
  </si>
  <si>
    <t xml:space="preserve">Term loans, lines and bad-credit loans ($5,000 to $10M)</t>
  </si>
  <si>
    <t xml:space="preserve">500</t>
  </si>
  <si>
    <t xml:space="preserve">4 months of business bank statements to start. 6 months in business and $150,000 revenue.</t>
  </si>
  <si>
    <t xml:space="preserve">APR not published.</t>
  </si>
  <si>
    <t xml:space="preserve">S27</t>
  </si>
  <si>
    <t xml:space="preserve">Fora Financial</t>
  </si>
  <si>
    <t xml:space="preserve">MCA</t>
  </si>
  <si>
    <t xml:space="preserve">Short-term loans and revenue advances up to $1.5M</t>
  </si>
  <si>
    <t xml:space="preserve">620</t>
  </si>
  <si>
    <t xml:space="preserve">570</t>
  </si>
  <si>
    <t xml:space="preserve">Bank statements. 6 months in business.</t>
  </si>
  <si>
    <t xml:space="preserve">S40, S41</t>
  </si>
  <si>
    <t xml:space="preserve">NerdWallet: Best Business Loans for Bad Credit</t>
  </si>
  <si>
    <t xml:space="preserve">National Funding</t>
  </si>
  <si>
    <t xml:space="preserve">Equipment</t>
  </si>
  <si>
    <t xml:space="preserve">Short-term loans and equipment financing ($5,000 to $500,000)</t>
  </si>
  <si>
    <t xml:space="preserve">6 months in business and $250,000 revenue. Bank statements.</t>
  </si>
  <si>
    <t xml:space="preserve">S39</t>
  </si>
  <si>
    <t xml:space="preserve">Bankrate: Best Equipment Business Loans</t>
  </si>
  <si>
    <t xml:space="preserve">iBusiness Funding</t>
  </si>
  <si>
    <t xml:space="preserve">Term and equipment loans ($25,000 to $500,000); SBA lender</t>
  </si>
  <si>
    <t xml:space="preserve">24 months in business.</t>
  </si>
  <si>
    <t xml:space="preserve">Platform capital (PayPal Working Capital, Square Loans, Shopify Capital, Stripe Capital)</t>
  </si>
  <si>
    <t xml:space="preserve">Sales-based advances and loans repaid from processing volume</t>
  </si>
  <si>
    <t xml:space="preserve">Usually no hard credit check</t>
  </si>
  <si>
    <t xml:space="preserve">Offer is based on processing history with the platform. No documents.</t>
  </si>
  <si>
    <t xml:space="preserve">Useful when score is low but card sales are steady.</t>
  </si>
  <si>
    <t xml:space="preserve">Marketplaces (Lendio, Fundera by NerdWallet, SmallBusinessLoans.com)</t>
  </si>
  <si>
    <t xml:space="preserve">Loan marketplaces that shop one application to many lenders</t>
  </si>
  <si>
    <t xml:space="preserve">About 500 to 660 depending on product</t>
  </si>
  <si>
    <t xml:space="preserve">One application; documents depend on the matched lender.</t>
  </si>
  <si>
    <t xml:space="preserve">Useful for comparing offers. Ask whether the first pull is soft.</t>
  </si>
  <si>
    <t xml:space="preserve">S39, S28</t>
  </si>
  <si>
    <t xml:space="preserve">08 Merchant Cash Advance &amp; Revenue-Based Funding</t>
  </si>
  <si>
    <t xml:space="preserve">Forward Financing</t>
  </si>
  <si>
    <t xml:space="preserve">Merchant cash advance up to $500,000</t>
  </si>
  <si>
    <t xml:space="preserve">550</t>
  </si>
  <si>
    <t xml:space="preserve">Bank statements; 12 months in business.</t>
  </si>
  <si>
    <t xml:space="preserve">Expensive. Use only when cheaper options are closed.</t>
  </si>
  <si>
    <t xml:space="preserve">S41</t>
  </si>
  <si>
    <t xml:space="preserve">NerdWallet: Best Merchant Cash Advance Companies</t>
  </si>
  <si>
    <t xml:space="preserve">Uplyft Capital</t>
  </si>
  <si>
    <t xml:space="preserve">Merchant cash advance up to $5M</t>
  </si>
  <si>
    <t xml:space="preserve">Bank statements; 3 months in business.</t>
  </si>
  <si>
    <t xml:space="preserve">Expensive.</t>
  </si>
  <si>
    <t xml:space="preserve">Giggle Finance</t>
  </si>
  <si>
    <t xml:space="preserve">Small merchant cash advance up to $15,000 for gig workers and sole proprietors</t>
  </si>
  <si>
    <t xml:space="preserve">300 (no credit check)</t>
  </si>
  <si>
    <t xml:space="preserve">Bank link only; 3 months in business.</t>
  </si>
  <si>
    <t xml:space="preserve">Very short terms (up to 6 months).</t>
  </si>
  <si>
    <t xml:space="preserve">Fundomate</t>
  </si>
  <si>
    <t xml:space="preserve">Business funding up to $500,000</t>
  </si>
  <si>
    <t xml:space="preserve">Rapid Finance</t>
  </si>
  <si>
    <t xml:space="preserve">Merchant cash advance and short-term loans up to $500,000</t>
  </si>
  <si>
    <t xml:space="preserve">Bank statements; 3 years in business.</t>
  </si>
  <si>
    <t xml:space="preserve">09 Invoice Factoring</t>
  </si>
  <si>
    <t xml:space="preserve">altLINE (The Southern Bank Company)</t>
  </si>
  <si>
    <t xml:space="preserve">Invoice factoring $30,000 to $5M</t>
  </si>
  <si>
    <t xml:space="preserve">EIN, accounts receivable aging report, ID and a business bank account. Approval rests on your customers' credit.</t>
  </si>
  <si>
    <t xml:space="preserve">Works with startups and poor credit. B2B invoices only.</t>
  </si>
  <si>
    <t xml:space="preserve">S27, S40, S46</t>
  </si>
  <si>
    <t xml:space="preserve">FundThrough</t>
  </si>
  <si>
    <t xml:space="preserve">Invoice factoring, 100% advance</t>
  </si>
  <si>
    <t xml:space="preserve">Invoices and accounting software connection.</t>
  </si>
  <si>
    <t xml:space="preserve">Fee 1.9% to 2.9% per 30 days.</t>
  </si>
  <si>
    <t xml:space="preserve">S46</t>
  </si>
  <si>
    <t xml:space="preserve">LendingTree: Best Invoice Factoring Companies</t>
  </si>
  <si>
    <t xml:space="preserve">Riviera Finance</t>
  </si>
  <si>
    <t xml:space="preserve">Non-recourse invoice factoring up to $2M</t>
  </si>
  <si>
    <t xml:space="preserve">Invoices; UCC filing on receivables.</t>
  </si>
  <si>
    <t xml:space="preserve">Other factors (RTS Financial, eCapital, Universal Funding, Scale Funding)</t>
  </si>
  <si>
    <t xml:space="preserve">Invoice and freight factoring up to $30M</t>
  </si>
  <si>
    <t xml:space="preserve">Invoices and aging report.</t>
  </si>
  <si>
    <t xml:space="preserve">RTS focuses on trucking.</t>
  </si>
  <si>
    <t xml:space="preserve">10 Equipment Financing &amp; Leasing</t>
  </si>
  <si>
    <t xml:space="preserve">Taycor Financial</t>
  </si>
  <si>
    <t xml:space="preserve">Equipment loans and leases ($5,000 to $5M)</t>
  </si>
  <si>
    <t xml:space="preserve">Application only (EIN and SSN) for smaller amounts; financials for larger deals. Startups accepted.</t>
  </si>
  <si>
    <t xml:space="preserve">No personal guarantee listed by Bankrate.</t>
  </si>
  <si>
    <t xml:space="preserve">S27, S39</t>
  </si>
  <si>
    <t xml:space="preserve">Creditfy</t>
  </si>
  <si>
    <t xml:space="preserve">Equipment financing ($10,000 to $10M)</t>
  </si>
  <si>
    <t xml:space="preserve">6 months in business and $100,000 revenue. No hard pull at pre-approval.</t>
  </si>
  <si>
    <t xml:space="preserve">Triton Capital</t>
  </si>
  <si>
    <t xml:space="preserve">Equipment financing ($10,000 to $500,000)</t>
  </si>
  <si>
    <t xml:space="preserve">660 personal</t>
  </si>
  <si>
    <t xml:space="preserve">24 months in business and $350,000 revenue.</t>
  </si>
  <si>
    <t xml:space="preserve">SMB Compass</t>
  </si>
  <si>
    <t xml:space="preserve">Equipment and asset-based financing ($25,000 to $5M)</t>
  </si>
  <si>
    <t xml:space="preserve">6 months in business and $300,000 revenue. No sole proprietors.</t>
  </si>
  <si>
    <t xml:space="preserve">Not available in California.</t>
  </si>
  <si>
    <t xml:space="preserve">Bank of America Equipment Loans</t>
  </si>
  <si>
    <t xml:space="preserve">See Bank of America</t>
  </si>
  <si>
    <t xml:space="preserve">Equipment loans from $25,000</t>
  </si>
  <si>
    <t xml:space="preserve">740</t>
  </si>
  <si>
    <t xml:space="preserve">24 months in business and $100,000 revenue; full financials.</t>
  </si>
  <si>
    <t xml:space="preserve">S39, S44</t>
  </si>
  <si>
    <t xml:space="preserve">Crest Capital, Balboa Capital (Ameris Bank), eLease</t>
  </si>
  <si>
    <t xml:space="preserve">Application-only equipment financing, typically up to $250,000 to $500,000</t>
  </si>
  <si>
    <t xml:space="preserve">About 620 to 650 (estimate)</t>
  </si>
  <si>
    <t xml:space="preserve">One-page application for smaller tickets; no financial statements under the app-only threshold.</t>
  </si>
  <si>
    <t xml:space="preserve">Named widely in equipment finance roundups; minimums here are estimates.</t>
  </si>
  <si>
    <t xml:space="preserve">S40, GK</t>
  </si>
  <si>
    <t xml:space="preserve">ACG Equipment Finance</t>
  </si>
  <si>
    <t xml:space="preserve">Equipment financing</t>
  </si>
  <si>
    <t xml:space="preserve">Your FL row shows TransUnion.</t>
  </si>
  <si>
    <t xml:space="preserve">Tricon Leasing Group</t>
  </si>
  <si>
    <t xml:space="preserve">Equipment leasing</t>
  </si>
  <si>
    <t xml:space="preserve">Your FL row shows Experian.</t>
  </si>
  <si>
    <t xml:space="preserve">Compass Equipment Finance</t>
  </si>
  <si>
    <t xml:space="preserve">Equipment financing (your MO row reads Compass Equi)</t>
  </si>
  <si>
    <t xml:space="preserve">MO*</t>
  </si>
  <si>
    <t xml:space="preserve">Your MO row shows TransUnion. Name match is a best guess.</t>
  </si>
  <si>
    <t xml:space="preserve">Daimler Truck Financial</t>
  </si>
  <si>
    <t xml:space="preserve">Commercial truck financing</t>
  </si>
  <si>
    <t xml:space="preserve">Your MO rows show Experian and TransUnion.</t>
  </si>
  <si>
    <t xml:space="preserve">11 SBA, CDFI &amp; Microlenders</t>
  </si>
  <si>
    <t xml:space="preserve">SBA 7(a) loans (through banks and SBLCs)</t>
  </si>
  <si>
    <t xml:space="preserve">Government-guaranteed term loans up to $5M</t>
  </si>
  <si>
    <t xml:space="preserve">680-700</t>
  </si>
  <si>
    <t xml:space="preserve">No SBA minimum since March 1, 2026; lenders set their own (often 650+)</t>
  </si>
  <si>
    <t xml:space="preserve">Full documentation: tax returns, financials, and analysis of the two most recent months of bank activity. Debt service coverage of at least 1.1.</t>
  </si>
  <si>
    <t xml:space="preserve">SBA retired the FICO SBSS score for 7(a) Small Loans effective March 1, 2026. Lenders now use their own credit analysis and cannot rely only on consumer scores.</t>
  </si>
  <si>
    <t xml:space="preserve">S43, S44</t>
  </si>
  <si>
    <t xml:space="preserve">NAGGL: SBA notice sunsetting SBSS scoring for 7(a) Small Loans</t>
  </si>
  <si>
    <t xml:space="preserve">SBA Express and CAPLines</t>
  </si>
  <si>
    <t xml:space="preserve">Revolving lines and term loans up to $500,000 (Express); CAPLines up to $5M</t>
  </si>
  <si>
    <t xml:space="preserve">650 for CAPLines per NerdWallet</t>
  </si>
  <si>
    <t xml:space="preserve">Lender's own forms; 24 months in business for CAPLines.</t>
  </si>
  <si>
    <t xml:space="preserve">Express was not affected by the SBSS change.</t>
  </si>
  <si>
    <t xml:space="preserve">S28, S29, S43</t>
  </si>
  <si>
    <t xml:space="preserve">SBA Microloan (through nonprofit intermediaries)</t>
  </si>
  <si>
    <t xml:space="preserve">Loans up to $50,000</t>
  </si>
  <si>
    <t xml:space="preserve">Generally 620</t>
  </si>
  <si>
    <t xml:space="preserve">Business plan and collateral or personal guarantee; lighter than bank underwriting. Startups accepted.</t>
  </si>
  <si>
    <t xml:space="preserve">Rates from about 8%; terms up to 7 years.</t>
  </si>
  <si>
    <t xml:space="preserve">S36, S40</t>
  </si>
  <si>
    <t xml:space="preserve">LendingTree: Best Business Microloans</t>
  </si>
  <si>
    <t xml:space="preserve">SBA Office of Disaster Assistance (EIDL and disaster loans)</t>
  </si>
  <si>
    <t xml:space="preserve">Disaster loans</t>
  </si>
  <si>
    <t xml:space="preserve">Your AZ row (US Small Biz Admin ODA) shows Experian. Available only after a declared disaster.</t>
  </si>
  <si>
    <t xml:space="preserve">Kiva U.S.</t>
  </si>
  <si>
    <t xml:space="preserve">0% interest crowdfunded microloans up to $15,000</t>
  </si>
  <si>
    <t xml:space="preserve">No credit score, revenue or time-in-business requirement. Needs a private lending round from your own network first.</t>
  </si>
  <si>
    <t xml:space="preserve">Takes roughly 6 to 8 weeks.</t>
  </si>
  <si>
    <t xml:space="preserve">S36</t>
  </si>
  <si>
    <t xml:space="preserve">Accion Opportunity Fund</t>
  </si>
  <si>
    <t xml:space="preserve">Small business loans $5,000 to $350,000</t>
  </si>
  <si>
    <t xml:space="preserve">Not disclosed; about 600 suggested</t>
  </si>
  <si>
    <t xml:space="preserve">12 months in business and $50,000 revenue. Accepts ITIN borrowers.</t>
  </si>
  <si>
    <t xml:space="preserve">Not available in MT, ND, SD, TN or VT.</t>
  </si>
  <si>
    <t xml:space="preserve">Ascendus</t>
  </si>
  <si>
    <t xml:space="preserve">Microloans $500 to $50,000</t>
  </si>
  <si>
    <t xml:space="preserve">575</t>
  </si>
  <si>
    <t xml:space="preserve">12 months in business; cosigners allowed.</t>
  </si>
  <si>
    <t xml:space="preserve">Not available in VT or CA.</t>
  </si>
  <si>
    <t xml:space="preserve">LiftFund</t>
  </si>
  <si>
    <t xml:space="preserve">Microloans and small business loans $500 to $1M</t>
  </si>
  <si>
    <t xml:space="preserve">Not disclosed</t>
  </si>
  <si>
    <t xml:space="preserve">Collateral may be required.</t>
  </si>
  <si>
    <t xml:space="preserve">Available in 14 states.</t>
  </si>
  <si>
    <t xml:space="preserve">Grameen America</t>
  </si>
  <si>
    <t xml:space="preserve">Group microloans for women entrepreneurs ($500 to $2,500 to start)</t>
  </si>
  <si>
    <t xml:space="preserve">No credit score needed; group of four and weekly meetings.</t>
  </si>
  <si>
    <t xml:space="preserve">Must live near a branch.</t>
  </si>
  <si>
    <t xml:space="preserve">USDA Farm Service Agency microloans</t>
  </si>
  <si>
    <t xml:space="preserve">Farm operating and ownership microloans up to $50,000</t>
  </si>
  <si>
    <t xml:space="preserve">For small and beginning farmers.</t>
  </si>
  <si>
    <t xml:space="preserve">12 Personal Loans (Prime &amp; Near-Prime)</t>
  </si>
  <si>
    <t xml:space="preserve">SoFi</t>
  </si>
  <si>
    <t xml:space="preserve">Personal loans $5,000 to $100,000; student loan refinance; credit card</t>
  </si>
  <si>
    <t xml:space="preserve">CA*, IN</t>
  </si>
  <si>
    <t xml:space="preserve">None listed by NerdWallet; other sources cite 600 to 680</t>
  </si>
  <si>
    <t xml:space="preserve">Soft pull to see rates; income verification on approval.</t>
  </si>
  <si>
    <t xml:space="preserve">Experian and/or TransUnion per forum reports. Your CA row (Experian) matches.</t>
  </si>
  <si>
    <t xml:space="preserve">S9, S16, S30, S31, S55</t>
  </si>
  <si>
    <t xml:space="preserve">LightStream (Truist)</t>
  </si>
  <si>
    <t xml:space="preserve">Unsecured personal loans $5,000 to $100,000</t>
  </si>
  <si>
    <t xml:space="preserve">CA*, MD*</t>
  </si>
  <si>
    <t xml:space="preserve">No soft pull prequalification on its site; a hard pull at application. Often no income documents for strong files.</t>
  </si>
  <si>
    <t xml:space="preserve">Your CA and MD rows show TransUnion.</t>
  </si>
  <si>
    <t xml:space="preserve">S30, S55</t>
  </si>
  <si>
    <t xml:space="preserve">NerdWallet: Best Personal Loan Lenders</t>
  </si>
  <si>
    <t xml:space="preserve">Upstart</t>
  </si>
  <si>
    <t xml:space="preserve">Personal loans $1,000 to $75,000</t>
  </si>
  <si>
    <t xml:space="preserve">None listed (300 accepted)</t>
  </si>
  <si>
    <t xml:space="preserve">Soft pull to see rates. Uses education and employment data; needs $12,000 income.</t>
  </si>
  <si>
    <t xml:space="preserve">Any of the three bureaus per forum reports.</t>
  </si>
  <si>
    <t xml:space="preserve">S16, S30, S31, S32, S36</t>
  </si>
  <si>
    <t xml:space="preserve">myFICO Forums: List of personal loan lenders with preapproval links</t>
  </si>
  <si>
    <t xml:space="preserve">Upgrade</t>
  </si>
  <si>
    <t xml:space="preserve">Personal loans $1,000 to $75,000; credit card line</t>
  </si>
  <si>
    <t xml:space="preserve">580 to 600</t>
  </si>
  <si>
    <t xml:space="preserve">Soft pull to see rates; income verification common.</t>
  </si>
  <si>
    <t xml:space="preserve">TransUnion per forum reports.</t>
  </si>
  <si>
    <t xml:space="preserve">S16, S30, S32</t>
  </si>
  <si>
    <t xml:space="preserve">Happen Bank (formerly LendingClub)</t>
  </si>
  <si>
    <t xml:space="preserve">Soft pull to see rates; DTI must be 40% or lower.</t>
  </si>
  <si>
    <t xml:space="preserve">TransUnion per forum reports. LendingClub rebranded as Happen Bank in 2026.</t>
  </si>
  <si>
    <t xml:space="preserve">S16, S30, S31, S53</t>
  </si>
  <si>
    <t xml:space="preserve">Best Egg</t>
  </si>
  <si>
    <t xml:space="preserve">Personal loans; secured personal loans</t>
  </si>
  <si>
    <t xml:space="preserve">Soft pull to see rates.</t>
  </si>
  <si>
    <t xml:space="preserve">Experian and/or TransUnion.</t>
  </si>
  <si>
    <t xml:space="preserve">S16, S31</t>
  </si>
  <si>
    <t xml:space="preserve">Prosper</t>
  </si>
  <si>
    <t xml:space="preserve">Peer-funded personal loans</t>
  </si>
  <si>
    <t xml:space="preserve">560</t>
  </si>
  <si>
    <t xml:space="preserve">Earnest</t>
  </si>
  <si>
    <t xml:space="preserve">Personal loans $3,000 to $50,000; student loans</t>
  </si>
  <si>
    <t xml:space="preserve">S30</t>
  </si>
  <si>
    <t xml:space="preserve">Discover Personal Loans</t>
  </si>
  <si>
    <t xml:space="preserve">See Discover</t>
  </si>
  <si>
    <t xml:space="preserve">Personal loans $2,500 to $40,000</t>
  </si>
  <si>
    <t xml:space="preserve">$25,000 minimum income.</t>
  </si>
  <si>
    <t xml:space="preserve">No origination fee.</t>
  </si>
  <si>
    <t xml:space="preserve">S30, S31</t>
  </si>
  <si>
    <t xml:space="preserve">Marcus by Goldman Sachs (closed to new personal loans)</t>
  </si>
  <si>
    <t xml:space="preserve">Was: personal loans</t>
  </si>
  <si>
    <t xml:space="preserve">660 when offered</t>
  </si>
  <si>
    <t xml:space="preserve">Goldman Sachs stopped offering new Marcus personal loans in 2023. Listed for completeness.</t>
  </si>
  <si>
    <t xml:space="preserve">S16, S31, GK</t>
  </si>
  <si>
    <t xml:space="preserve">Rocket Loans</t>
  </si>
  <si>
    <t xml:space="preserve">Personal loans</t>
  </si>
  <si>
    <t xml:space="preserve">S16</t>
  </si>
  <si>
    <t xml:space="preserve">Wells Fargo Personal Loans</t>
  </si>
  <si>
    <t xml:space="preserve">See Wells Fargo</t>
  </si>
  <si>
    <t xml:space="preserve">Personal loans for existing customers</t>
  </si>
  <si>
    <t xml:space="preserve">660 recommended</t>
  </si>
  <si>
    <t xml:space="preserve">S31</t>
  </si>
  <si>
    <t xml:space="preserve">Financer: What Credit Score Is Needed for a Personal Loan?</t>
  </si>
  <si>
    <t xml:space="preserve">13 Subprime Installment &amp; Cash Advance</t>
  </si>
  <si>
    <t xml:space="preserve">OneMain Financial</t>
  </si>
  <si>
    <t xml:space="preserve">Secured and unsecured personal loans $1,500 to $30,000</t>
  </si>
  <si>
    <t xml:space="preserve">CA*, DE*, MO*, NJ*</t>
  </si>
  <si>
    <t xml:space="preserve">CA*, DE*, MD*</t>
  </si>
  <si>
    <t xml:space="preserve">Income and ID verification; may require a branch visit. Collateral (vehicle) accepted.</t>
  </si>
  <si>
    <t xml:space="preserve">Your 10 OneMain rows show Experian 6 times, TransUnion 4, Equifax 3. No single bureau; it varies by branch and state.</t>
  </si>
  <si>
    <t xml:space="preserve">S32, S55</t>
  </si>
  <si>
    <t xml:space="preserve">Finder: Best Personal Loans for Bad Credit</t>
  </si>
  <si>
    <t xml:space="preserve">Avant</t>
  </si>
  <si>
    <t xml:space="preserve">Personal loans $2,000 to $35,000</t>
  </si>
  <si>
    <t xml:space="preserve">550 to 580</t>
  </si>
  <si>
    <t xml:space="preserve">Soft pull to see rates; accepts self-employed borrowers.</t>
  </si>
  <si>
    <t xml:space="preserve">S31, S32</t>
  </si>
  <si>
    <t xml:space="preserve">LoanMe (ceased lending)</t>
  </si>
  <si>
    <t xml:space="preserve">Was: high-rate personal and small business loans</t>
  </si>
  <si>
    <t xml:space="preserve">CA*, DE*, WA*</t>
  </si>
  <si>
    <t xml:space="preserve">Your CA, DE and WA rows all show Experian. LoanMe stopped originating loans in 2022 and is no longer a funding source.</t>
  </si>
  <si>
    <t xml:space="preserve">OppLoans</t>
  </si>
  <si>
    <t xml:space="preserve">Installment loans $500 to $5,000 at 129% to 195% APR</t>
  </si>
  <si>
    <t xml:space="preserve">Soft check only</t>
  </si>
  <si>
    <t xml:space="preserve">Bank account open 90 days and direct deposit.</t>
  </si>
  <si>
    <t xml:space="preserve">Reports payments to all three bureaus. Very expensive.</t>
  </si>
  <si>
    <t xml:space="preserve">S32</t>
  </si>
  <si>
    <t xml:space="preserve">NetCredit</t>
  </si>
  <si>
    <t xml:space="preserve">Installment loans $1,000 to $10,000 at 34% to 99.99% APR</t>
  </si>
  <si>
    <t xml:space="preserve">Not stated</t>
  </si>
  <si>
    <t xml:space="preserve">Reports on-time payments.</t>
  </si>
  <si>
    <t xml:space="preserve">Cash advance apps (EarnIn, Chime MyPay)</t>
  </si>
  <si>
    <t xml:space="preserve">Earned wage advances up to $500 to $1,000 per pay period</t>
  </si>
  <si>
    <t xml:space="preserve">No credit check</t>
  </si>
  <si>
    <t xml:space="preserve">Direct deposit required.</t>
  </si>
  <si>
    <t xml:space="preserve">No interest; small transfer fees. Not credit building.</t>
  </si>
  <si>
    <t xml:space="preserve">14 Auto Finance</t>
  </si>
  <si>
    <t xml:space="preserve">Capital One Auto Finance (COAF)</t>
  </si>
  <si>
    <t xml:space="preserve">See Capital One</t>
  </si>
  <si>
    <t xml:space="preserve">Indirect and direct auto loans; Auto Navigator prequalification</t>
  </si>
  <si>
    <t xml:space="preserve">CA*, MO*</t>
  </si>
  <si>
    <t xml:space="preserve">GA*, MO*, NV*</t>
  </si>
  <si>
    <t xml:space="preserve">CA*, GA*, MO*, NV*</t>
  </si>
  <si>
    <t xml:space="preserve">500+ for Auto Navigator</t>
  </si>
  <si>
    <t xml:space="preserve">Soft pull prequalification; income verified at the dealer for weaker files.</t>
  </si>
  <si>
    <t xml:space="preserve">Your 9 COAF rows show TransUnion 6 times, Equifax 3, Experian 2. Capital One often pulls more than one bureau.</t>
  </si>
  <si>
    <t xml:space="preserve">S47, S55</t>
  </si>
  <si>
    <t xml:space="preserve">Crediful: Best Auto Loans for Bad Credit</t>
  </si>
  <si>
    <t xml:space="preserve">Ally Financial</t>
  </si>
  <si>
    <t xml:space="preserve">Online bank</t>
  </si>
  <si>
    <t xml:space="preserve">Indirect auto loans; dealer floorplan; personal lending</t>
  </si>
  <si>
    <t xml:space="preserve">CA*, DE*, MD, NV*</t>
  </si>
  <si>
    <t xml:space="preserve">CA*, DE*, GA*, TX*</t>
  </si>
  <si>
    <t xml:space="preserve">DE*, MD</t>
  </si>
  <si>
    <t xml:space="preserve">Dealer submits; income verified for weaker files.</t>
  </si>
  <si>
    <t xml:space="preserve">Your rows: CA Experian and Equifax, DE all three, GA Equifax, NV Experian, TX Equifax. No fixed bureau.</t>
  </si>
  <si>
    <t xml:space="preserve">Chase Auto Finance</t>
  </si>
  <si>
    <t xml:space="preserve">See Chase</t>
  </si>
  <si>
    <t xml:space="preserve">Indirect and direct auto loans</t>
  </si>
  <si>
    <t xml:space="preserve">Your CA row shows TransUnion.</t>
  </si>
  <si>
    <t xml:space="preserve">Wells Fargo Auto (WFDS, Wells Fargo Dealer Services)</t>
  </si>
  <si>
    <t xml:space="preserve">Indirect auto loans</t>
  </si>
  <si>
    <t xml:space="preserve">GA*, NV*</t>
  </si>
  <si>
    <t xml:space="preserve">Your rows: CA Experian; GA and NV Equifax.</t>
  </si>
  <si>
    <t xml:space="preserve">U.S. Bank Dealer Services</t>
  </si>
  <si>
    <t xml:space="preserve">See U.S. Bank</t>
  </si>
  <si>
    <t xml:space="preserve">TX*</t>
  </si>
  <si>
    <t xml:space="preserve">Your rows: CA Experian; TX TransUnion.</t>
  </si>
  <si>
    <t xml:space="preserve">Citizens One Auto Finance</t>
  </si>
  <si>
    <t xml:space="preserve">See Citizens</t>
  </si>
  <si>
    <t xml:space="preserve">Your CA row shows Equifax.</t>
  </si>
  <si>
    <t xml:space="preserve">TD Auto Finance</t>
  </si>
  <si>
    <t xml:space="preserve">See TD Bank</t>
  </si>
  <si>
    <t xml:space="preserve">GM Financial</t>
  </si>
  <si>
    <t xml:space="preserve">Captive auto finance (all credit tiers)</t>
  </si>
  <si>
    <t xml:space="preserve">Toyota Motor Credit (Toyota Financial Services)</t>
  </si>
  <si>
    <t xml:space="preserve">Captive auto finance</t>
  </si>
  <si>
    <t xml:space="preserve">About 610</t>
  </si>
  <si>
    <t xml:space="preserve">Your CA row shows Experian and Equifax.</t>
  </si>
  <si>
    <t xml:space="preserve">American Honda Finance (AHFC)</t>
  </si>
  <si>
    <t xml:space="preserve">Your NV rows show Equifax.</t>
  </si>
  <si>
    <t xml:space="preserve">Mercedes-Benz Financial Services</t>
  </si>
  <si>
    <t xml:space="preserve">Your MO row shows Equifax.</t>
  </si>
  <si>
    <t xml:space="preserve">Westlake Financial (Nowcom)</t>
  </si>
  <si>
    <t xml:space="preserve">Subprime indirect auto loans</t>
  </si>
  <si>
    <t xml:space="preserve">CA*, NJ*, NV*</t>
  </si>
  <si>
    <t xml:space="preserve">580</t>
  </si>
  <si>
    <t xml:space="preserve">No minimum</t>
  </si>
  <si>
    <t xml:space="preserve">Proof of income and residence.</t>
  </si>
  <si>
    <t xml:space="preserve">All four of your rows (CA twice, NV, NJ) show Experian.</t>
  </si>
  <si>
    <t xml:space="preserve">Credit Acceptance</t>
  </si>
  <si>
    <t xml:space="preserve">Deep subprime indirect auto loans</t>
  </si>
  <si>
    <t xml:space="preserve">Proof of income.</t>
  </si>
  <si>
    <t xml:space="preserve">Your NV row shows Experian.</t>
  </si>
  <si>
    <t xml:space="preserve">Santander Consumer USA</t>
  </si>
  <si>
    <t xml:space="preserve">Subprime and near-prime indirect auto loans</t>
  </si>
  <si>
    <t xml:space="preserve">CA*, DE*</t>
  </si>
  <si>
    <t xml:space="preserve">Your CA and DE rows show Experian.</t>
  </si>
  <si>
    <t xml:space="preserve">Exeter Finance</t>
  </si>
  <si>
    <t xml:space="preserve">DE*, NV*</t>
  </si>
  <si>
    <t xml:space="preserve">Your DE and NV rows show TransUnion.</t>
  </si>
  <si>
    <t xml:space="preserve">Flagship Credit Acceptance</t>
  </si>
  <si>
    <t xml:space="preserve">FL*, MD*</t>
  </si>
  <si>
    <t xml:space="preserve">Your FL and MD rows show Equifax and TransUnion.</t>
  </si>
  <si>
    <t xml:space="preserve">Global Lending Services</t>
  </si>
  <si>
    <t xml:space="preserve">Your NV rows show Experian and Equifax.</t>
  </si>
  <si>
    <t xml:space="preserve">American Credit Acceptance</t>
  </si>
  <si>
    <t xml:space="preserve">Consumer Portfolio Services (CPS)</t>
  </si>
  <si>
    <t xml:space="preserve">GA*</t>
  </si>
  <si>
    <t xml:space="preserve">Your GA rows show Equifax.</t>
  </si>
  <si>
    <t xml:space="preserve">MAJR Financial</t>
  </si>
  <si>
    <t xml:space="preserve">Subprime auto and consumer finance</t>
  </si>
  <si>
    <t xml:space="preserve">CA*, IN*, MO*</t>
  </si>
  <si>
    <t xml:space="preserve">Your CA, IN and MO rows show Experian.</t>
  </si>
  <si>
    <t xml:space="preserve">RateGenius, myAutoLoan, Autopay (auto loan marketplaces)</t>
  </si>
  <si>
    <t xml:space="preserve">Auto purchase and refinance marketplaces</t>
  </si>
  <si>
    <t xml:space="preserve">560 to 575</t>
  </si>
  <si>
    <t xml:space="preserve">Soft pull to see offers on most.</t>
  </si>
  <si>
    <t xml:space="preserve">Your NV RateGenius row shows Equifax.</t>
  </si>
  <si>
    <t xml:space="preserve">Auto Credit Express, CarsDirect, Carvana</t>
  </si>
  <si>
    <t xml:space="preserve">Bad-credit dealer networks and online retail financing</t>
  </si>
  <si>
    <t xml:space="preserve">400 (Auto Credit Express); none listed for the others</t>
  </si>
  <si>
    <t xml:space="preserve">$1,500 monthly income for Auto Credit Express.</t>
  </si>
  <si>
    <t xml:space="preserve">S47</t>
  </si>
  <si>
    <t xml:space="preserve">Auto dealers in your list (Modesto Toyota, Sierra Motors, Brown Honda, Prime Motor, Mall of Georgia, Northtowne, Lithia VW, South Point)</t>
  </si>
  <si>
    <t xml:space="preserve">Dealer-arranged financing (the dealer shops your application to several lenders)</t>
  </si>
  <si>
    <t xml:space="preserve">Dealer collects pay stubs when the lender asks.</t>
  </si>
  <si>
    <t xml:space="preserve">A dealer inquiry is the store's own pull, usually followed by separate inquiries from each lender it submits to. Auto lenders most often use Equifax and Experian. Multiple auto inquiries inside 14 to 45 days count as one for scoring.</t>
  </si>
  <si>
    <t xml:space="preserve">S48, S55</t>
  </si>
  <si>
    <t xml:space="preserve">SoFi: Which Credit Bureau Is Used Most for Auto Loans?</t>
  </si>
  <si>
    <t xml:space="preserve">15 Mortgage, DSCR &amp; Real Estate Investor Lending</t>
  </si>
  <si>
    <t xml:space="preserve">FHA loans (through approved lenders)</t>
  </si>
  <si>
    <t xml:space="preserve">Government-insured home loans</t>
  </si>
  <si>
    <t xml:space="preserve">660-680</t>
  </si>
  <si>
    <t xml:space="preserve">580 for 3.5% down; 500 to 579 with 10% down</t>
  </si>
  <si>
    <t xml:space="preserve">Full income and asset documentation.</t>
  </si>
  <si>
    <t xml:space="preserve">Mortgage lenders pull all three bureaus (tri-merge) and use the middle score. Many lenders add overlays of 620 or higher.</t>
  </si>
  <si>
    <t xml:space="preserve">S49, GK</t>
  </si>
  <si>
    <t xml:space="preserve">National Mortgage Professional: FHFA opens VantageScore to all GSE lenders</t>
  </si>
  <si>
    <t xml:space="preserve">Conventional (Fannie Mae / Freddie Mac) loans</t>
  </si>
  <si>
    <t xml:space="preserve">Conforming home loans</t>
  </si>
  <si>
    <t xml:space="preserve">740+</t>
  </si>
  <si>
    <t xml:space="preserve">620 typical</t>
  </si>
  <si>
    <t xml:space="preserve">Full documentation.</t>
  </si>
  <si>
    <t xml:space="preserve">FHFA told Fannie and Freddie in September 2026 to accept VantageScore 4.0 from all lenders. Tri-merge reports are still required; a two-bureau option is under review.</t>
  </si>
  <si>
    <t xml:space="preserve">S49</t>
  </si>
  <si>
    <t xml:space="preserve">Angel Oak Mortgage Solutions / Angel Oak Home Loans</t>
  </si>
  <si>
    <t xml:space="preserve">Non-QM: bank statement loans, DSCR loans up to $1.5M</t>
  </si>
  <si>
    <t xml:space="preserve">About 620 to 660</t>
  </si>
  <si>
    <t xml:space="preserve">Bank statement programs use 12 to 24 months of statements in place of tax returns. DSCR loans need no income or employment information.</t>
  </si>
  <si>
    <t xml:space="preserve">Your MD rows show TransUnion, and a Credit Plus row for Angel Oak shows Experian, consistent with a tri-merge.</t>
  </si>
  <si>
    <t xml:space="preserve">S37, S55</t>
  </si>
  <si>
    <t xml:space="preserve">New Silver: Best DSCR Lenders</t>
  </si>
  <si>
    <t xml:space="preserve">New American Funding</t>
  </si>
  <si>
    <t xml:space="preserve">Purchase and refinance mortgages, FHA, VA, non-QM</t>
  </si>
  <si>
    <t xml:space="preserve">580 for FHA</t>
  </si>
  <si>
    <t xml:space="preserve">Your MD rows (via Informative Research) show Experian, Equifax and TransUnion.</t>
  </si>
  <si>
    <t xml:space="preserve">Other mortgage lenders in your list (AmeriSave, Fairway Independent, T2 Financial / Revolution Mortgage)</t>
  </si>
  <si>
    <t xml:space="preserve">Purchase and refinance mortgages</t>
  </si>
  <si>
    <t xml:space="preserve">580 to 620</t>
  </si>
  <si>
    <t xml:space="preserve">Their inquiries arrive through a reseller (Equifax Mortgage Solutions, CIS) and normally cover all three bureaus.</t>
  </si>
  <si>
    <t xml:space="preserve">Kiavi</t>
  </si>
  <si>
    <t xml:space="preserve">Fix and flip bridge loans ($100,000 to $5M); DSCR rental loans up to 80% LTV</t>
  </si>
  <si>
    <t xml:space="preserve">No income verification, tax returns or traditional appraisal. Property and experience based.</t>
  </si>
  <si>
    <t xml:space="preserve">S37, S38</t>
  </si>
  <si>
    <t xml:space="preserve">RCN Capital</t>
  </si>
  <si>
    <t xml:space="preserve">Fix and flip, bridge and rental loans ($75,000 to $3M)</t>
  </si>
  <si>
    <t xml:space="preserve">650 (720+ for the 100% purchase option)</t>
  </si>
  <si>
    <t xml:space="preserve">Asset based; leverage scales with number of completed flips.</t>
  </si>
  <si>
    <t xml:space="preserve">S38</t>
  </si>
  <si>
    <t xml:space="preserve">The Close: 6 Best Fix and Flip Loans in 2026</t>
  </si>
  <si>
    <t xml:space="preserve">New Silver</t>
  </si>
  <si>
    <t xml:space="preserve">Fix and flip (up to 95% LTC) and DSCR loans up to $3M</t>
  </si>
  <si>
    <t xml:space="preserve">No income verification. Minimum DSCR 0.75.</t>
  </si>
  <si>
    <t xml:space="preserve">No rural properties.</t>
  </si>
  <si>
    <t xml:space="preserve">Lima One Capital</t>
  </si>
  <si>
    <t xml:space="preserve">Fix and flip, new construction and DSCR rental loans</t>
  </si>
  <si>
    <t xml:space="preserve">700 for short-term rental DSCR; others not disclosed</t>
  </si>
  <si>
    <t xml:space="preserve">Qualifies on property rental income.</t>
  </si>
  <si>
    <t xml:space="preserve">DSCR 1.0 minimum (1.5 for short-term rentals).</t>
  </si>
  <si>
    <t xml:space="preserve">Griffin Funding, Truss Financial, Visio, CoreVest, Flip Funding</t>
  </si>
  <si>
    <t xml:space="preserve">DSCR and investor loans up to $5M</t>
  </si>
  <si>
    <t xml:space="preserve">About 620 to 660 typical</t>
  </si>
  <si>
    <t xml:space="preserve">No personal income verification or job history; some offer no-ratio options.</t>
  </si>
  <si>
    <t xml:space="preserve">The article notes about 660 or higher as the usual guideline.</t>
  </si>
  <si>
    <t xml:space="preserve">HELOCs with light documentation (Figure and similar)</t>
  </si>
  <si>
    <t xml:space="preserve">Home equity lines funded in days</t>
  </si>
  <si>
    <t xml:space="preserve">About 640 (estimate)</t>
  </si>
  <si>
    <t xml:space="preserve">Automated income and property valuation in many cases.</t>
  </si>
  <si>
    <t xml:space="preserve">Minimums are estimates.</t>
  </si>
  <si>
    <t xml:space="preserve">16 Vendor / Net-30 Trade Credit</t>
  </si>
  <si>
    <t xml:space="preserve">Uline</t>
  </si>
  <si>
    <t xml:space="preserve">Net-30 vendor credit (shipping and warehouse supplies)</t>
  </si>
  <si>
    <t xml:space="preserve">No personal pull</t>
  </si>
  <si>
    <t xml:space="preserve">Business information only. No annual fee.</t>
  </si>
  <si>
    <t xml:space="preserve">Reports to D&amp;B, Experian Business and Equifax Business.</t>
  </si>
  <si>
    <t xml:space="preserve">S35</t>
  </si>
  <si>
    <t xml:space="preserve">Startup Savant: 23 Best Net 30 Accounts to Build Business Credit</t>
  </si>
  <si>
    <t xml:space="preserve">Quill</t>
  </si>
  <si>
    <t xml:space="preserve">Net-30 vendor credit (office supplies)</t>
  </si>
  <si>
    <t xml:space="preserve">May ask for a purchase history before extending terms.</t>
  </si>
  <si>
    <t xml:space="preserve">Reports to D&amp;B and Experian Business.</t>
  </si>
  <si>
    <t xml:space="preserve">Grainger</t>
  </si>
  <si>
    <t xml:space="preserve">Net-30 vendor credit (industrial supplies)</t>
  </si>
  <si>
    <t xml:space="preserve">May need buying history if the business is brand new.</t>
  </si>
  <si>
    <t xml:space="preserve">Reports to D&amp;B.</t>
  </si>
  <si>
    <t xml:space="preserve">Crown Office Supplies</t>
  </si>
  <si>
    <t xml:space="preserve">Net-30 vendor credit</t>
  </si>
  <si>
    <t xml:space="preserve">$99 annual fee.</t>
  </si>
  <si>
    <t xml:space="preserve">Fee-based starter vendors (Office Garner, Creative Analytics, The CEO Creative, Shirtsy, Wise Business Plans, Growegy)</t>
  </si>
  <si>
    <t xml:space="preserve">Net-30 starter accounts designed to report</t>
  </si>
  <si>
    <t xml:space="preserve">Setup or annual fees from about $20 to $600.</t>
  </si>
  <si>
    <t xml:space="preserve">Report to a mix of Equifax Business, Experian Business, Creditsafe and D&amp;B. Easy approval for new entities.</t>
  </si>
  <si>
    <t xml:space="preserve">No-fee industrial and office vendors (Global Industrial, Fastenal, McMaster-Carr, Zoro, Newegg Business, HD Supply, Seton, Office Depot)</t>
  </si>
  <si>
    <t xml:space="preserve">Usually no personal pull</t>
  </si>
  <si>
    <t xml:space="preserve">No annual fee.</t>
  </si>
  <si>
    <t xml:space="preserve">Mostly report to D&amp;B; HD Supply reports to Experian Business.</t>
  </si>
  <si>
    <t xml:space="preserve">Staples Business Advantage</t>
  </si>
  <si>
    <t xml:space="preserve">Aimed at businesses with 20+ employees.</t>
  </si>
  <si>
    <t xml:space="preserve">Reports to Experian Business.</t>
  </si>
  <si>
    <t xml:space="preserve">IKEA Business (via Slope)</t>
  </si>
  <si>
    <t xml:space="preserve">Net-30 or net-60 terms up to $150,000</t>
  </si>
  <si>
    <t xml:space="preserve">EIN, 1 year in operation and $85,000+ revenue.</t>
  </si>
  <si>
    <t xml:space="preserve">Does not report to business bureaus.</t>
  </si>
  <si>
    <t xml:space="preserve">17 Specialty Consumer Finance</t>
  </si>
  <si>
    <t xml:space="preserve">Carmel Financial</t>
  </si>
  <si>
    <t xml:space="preserve">Point-of-sale financing for in-home sales (water treatment, home improvement)</t>
  </si>
  <si>
    <t xml:space="preserve">CA*, IN*, MD*, MO*</t>
  </si>
  <si>
    <t xml:space="preserve">Dealer submits the application.</t>
  </si>
  <si>
    <t xml:space="preserve">All four of your rows (CA, IN, MD, MO) show TransUnion.</t>
  </si>
  <si>
    <t xml:space="preserve">Aqua Finance</t>
  </si>
  <si>
    <t xml:space="preserve">Home improvement, water treatment and marine and RV financing</t>
  </si>
  <si>
    <t xml:space="preserve">Your DE row shows TransUnion.</t>
  </si>
  <si>
    <t xml:space="preserve">Service Finance Company (Truist)</t>
  </si>
  <si>
    <t xml:space="preserve">Home improvement contractor financing</t>
  </si>
  <si>
    <t xml:space="preserve">Your NV row shows TransUnion.</t>
  </si>
  <si>
    <t xml:space="preserve">Sunlight Financial (Cross River Bank)</t>
  </si>
  <si>
    <t xml:space="preserve">Solar and home improvement loans</t>
  </si>
  <si>
    <t xml:space="preserve">Octane Lending (Roadrunner Financial)</t>
  </si>
  <si>
    <t xml:space="preserve">Powersports, RV and outdoor equipment financing</t>
  </si>
  <si>
    <t xml:space="preserve">Your CA row shows Experian.</t>
  </si>
  <si>
    <t xml:space="preserve">Starpoint Resort Group, LifeShield</t>
  </si>
  <si>
    <t xml:space="preserve">Timeshare and home security financing</t>
  </si>
  <si>
    <t xml:space="preserve">Your rows show Equifax. These are merchant financings, not general funding sources.</t>
  </si>
  <si>
    <t xml:space="preserve">18 Credit Report Resellers &amp; Screening (Not Lenders)</t>
  </si>
  <si>
    <t xml:space="preserve">Mortgage credit report resellers (Credit Plus, Factual Data, CIC Credit, Credco, Advantage Credit, Equifax Mortgage Solutions, CIS, United One Resources, Informative Research, Covius, Funding Suite, American Reporting)</t>
  </si>
  <si>
    <t xml:space="preserve">None. They sell merged credit reports to mortgage lenders</t>
  </si>
  <si>
    <t xml:space="preserve">All three (tri-merge)</t>
  </si>
  <si>
    <t xml:space="preserve">AZ*, CA*, IN*, MD*, NV*, TX*, WA*</t>
  </si>
  <si>
    <t xml:space="preserve">These names appear when a mortgage lender orders a tri-merge report, so all three bureaus are normally hit at once. Rows in your list showing only one or two bureaus are probably partial captures of the same tri-merge. The real lender is the name after the slash (for example Credit Plus/Angel Oak).</t>
  </si>
  <si>
    <t xml:space="preserve">S49, S55</t>
  </si>
  <si>
    <t xml:space="preserve">700Credit</t>
  </si>
  <si>
    <t xml:space="preserve">None. Credit report and prescreen reseller for auto dealers</t>
  </si>
  <si>
    <t xml:space="preserve">Your TX row (700Cr/South Point) shows Experian and TransUnion. The dealer chooses the bureau.</t>
  </si>
  <si>
    <t xml:space="preserve">MicroBilt</t>
  </si>
  <si>
    <t xml:space="preserve">None. Alternative credit bureau used by subprime and small business lenders</t>
  </si>
  <si>
    <t xml:space="preserve">Your FL row shows Experian and TransUnion.</t>
  </si>
  <si>
    <t xml:space="preserve">Tenant screening (National Tenant Network, RentGrow, Checkpoint Screening / Check-Point)</t>
  </si>
  <si>
    <t xml:space="preserve">None. Rental application screening</t>
  </si>
  <si>
    <t xml:space="preserve">CA*, IN*, WA*</t>
  </si>
  <si>
    <t xml:space="preserve">Rental screening inquiries. Not a funding source.</t>
  </si>
  <si>
    <t xml:space="preserve">Bureau self-inquiries (TransUnion, Experian Business Credit, Equifax)</t>
  </si>
  <si>
    <t xml:space="preserve">NJ*</t>
  </si>
  <si>
    <t xml:space="preserve">Inquiries from the bureaus themselves, usually for a consumer disclosure or a business credit product.</t>
  </si>
  <si>
    <t xml:space="preserve">19 Other / Non-Lender Inquiries</t>
  </si>
  <si>
    <t xml:space="preserve">Merchant processors (Payroc, Electronic Payments)</t>
  </si>
  <si>
    <t xml:space="preserve">Merchant account underwriting, not funding</t>
  </si>
  <si>
    <t xml:space="preserve">NJ*, NY*</t>
  </si>
  <si>
    <t xml:space="preserve">Your NJ and NY rows show Experian. Processors pull credit when opening a merchant account; some also offer cash advances.</t>
  </si>
  <si>
    <t xml:space="preserve">U.S. Department of Education</t>
  </si>
  <si>
    <t xml:space="preserve">Federal student loans (PLUS loan credit check)</t>
  </si>
  <si>
    <t xml:space="preserve">NY*</t>
  </si>
  <si>
    <t xml:space="preserve">No minimum; adverse history check only</t>
  </si>
  <si>
    <t xml:space="preserve">Your NY row shows Equifax.</t>
  </si>
  <si>
    <t xml:space="preserve">Telecom and utilities (CenturyLink)</t>
  </si>
  <si>
    <t xml:space="preserve">Service account screening</t>
  </si>
  <si>
    <t xml:space="preserve">Your MO row shows TransUnion. Not a funding source.</t>
  </si>
  <si>
    <t xml:space="preserve">Unidentified names (Campora, Stinson Enterprises, Scott Stark Enterprise, The Culs, Team LOC 697, DSg Design, LFGFinance, SouthernCA, 1st Natl Bank)</t>
  </si>
  <si>
    <t xml:space="preserve">Unknown</t>
  </si>
  <si>
    <t xml:space="preserve">CA*, MO*, NV*, TX*</t>
  </si>
  <si>
    <t xml:space="preserve">CA*, FL*, GA*, MD*, MO*</t>
  </si>
  <si>
    <t xml:space="preserve">These names could not be matched to a specific lender. They are kept in the state tab exactly as you recorded them.</t>
  </si>
  <si>
    <t xml:space="preserve">State</t>
  </si>
  <si>
    <t xml:space="preserve">Bank</t>
  </si>
  <si>
    <t xml:space="preserve">Transunion</t>
  </si>
  <si>
    <t xml:space="preserve">Standardized Lender</t>
  </si>
  <si>
    <t xml:space="preserve">Cross-Check Category</t>
  </si>
  <si>
    <t xml:space="preserve">Cross-Check Detail</t>
  </si>
  <si>
    <t xml:space="preserve">Outside Evidence for This State</t>
  </si>
  <si>
    <t xml:space="preserve">Lender's Usual Pattern</t>
  </si>
  <si>
    <t xml:space="preserve">Alabama</t>
  </si>
  <si>
    <t xml:space="preserve">Chase Card Services</t>
  </si>
  <si>
    <t xml:space="preserve">x</t>
  </si>
  <si>
    <t xml:space="preserve">Every bureau in your row has a published datapoint for this state</t>
  </si>
  <si>
    <t xml:space="preserve">Equifax (DoC 2008-2014); TransUnion (DoC 2008-2014)</t>
  </si>
  <si>
    <t xml:space="preserve">Experian: Primary, Equifax: Common, TransUnion: Sometimes</t>
  </si>
  <si>
    <t xml:space="preserve">Chase Card</t>
  </si>
  <si>
    <t xml:space="preserve">Not seen in this state's published data, but fits the lender's national pattern</t>
  </si>
  <si>
    <t xml:space="preserve">Arizona</t>
  </si>
  <si>
    <t xml:space="preserve">Experian (DoC 2014-2016)</t>
  </si>
  <si>
    <t xml:space="preserve">Experian: Primary, Equifax: Rare, TransUnion: Rare</t>
  </si>
  <si>
    <t xml:space="preserve">American Reporting</t>
  </si>
  <si>
    <t xml:space="preserve">Reseller: tri-merge report, all three bureaus expected</t>
  </si>
  <si>
    <t xml:space="preserve">Experian: Primary, Equifax: Primary, TransUnion: Primary</t>
  </si>
  <si>
    <t xml:space="preserve">Fits the lender's national pattern; no state-level data published</t>
  </si>
  <si>
    <t xml:space="preserve">Capital One Bank USA</t>
  </si>
  <si>
    <t xml:space="preserve">Capital One NA</t>
  </si>
  <si>
    <t xml:space="preserve">Chase</t>
  </si>
  <si>
    <t xml:space="preserve">Experian (DoC 2008-2014); Equifax (DoC 2008-2014)</t>
  </si>
  <si>
    <t xml:space="preserve">Citi Cards CBNA</t>
  </si>
  <si>
    <t xml:space="preserve">Experian (DoC 2014-2016); Equifax (DoC 2014-2016); TransUnion (DoC 2014-2016, myFICO grid 2023)</t>
  </si>
  <si>
    <t xml:space="preserve">Discover Financial Ser</t>
  </si>
  <si>
    <t xml:space="preserve">Experian (myFICO grid 2023)</t>
  </si>
  <si>
    <t xml:space="preserve">Elan Financial</t>
  </si>
  <si>
    <t xml:space="preserve">TransUnion (myFICO grid 2023)</t>
  </si>
  <si>
    <t xml:space="preserve">Experian: Common, Equifax: Common, TransUnion: Primary</t>
  </si>
  <si>
    <t xml:space="preserve">Ems/Amerisave Mortgage</t>
  </si>
  <si>
    <t xml:space="preserve">Equifax Mortgage Service</t>
  </si>
  <si>
    <t xml:space="preserve">Nothing published to check against; the pattern shown for this lender comes from your list</t>
  </si>
  <si>
    <t xml:space="preserve">Experian: Primary</t>
  </si>
  <si>
    <t xml:space="preserve">US Bank</t>
  </si>
  <si>
    <t xml:space="preserve">TransUnion (DoC 2014-2016, myFICO grid 2023)</t>
  </si>
  <si>
    <t xml:space="preserve">US Small Biz Admin ODA</t>
  </si>
  <si>
    <t xml:space="preserve">Experian: Common</t>
  </si>
  <si>
    <t xml:space="preserve">WF CRD SVC</t>
  </si>
  <si>
    <t xml:space="preserve">Experian: Primary, Equifax: Sometimes, TransUnion: Sometimes</t>
  </si>
  <si>
    <t xml:space="preserve">WFB BD CRE</t>
  </si>
  <si>
    <t xml:space="preserve">California</t>
  </si>
  <si>
    <t xml:space="preserve">Auto lenders choose the bureau by dealer and region; no state data is published</t>
  </si>
  <si>
    <t xml:space="preserve">Experian: Common, Equifax: Common, TransUnion: Common</t>
  </si>
  <si>
    <t xml:space="preserve">Advantage Credit / F</t>
  </si>
  <si>
    <t xml:space="preserve">Alliant Cred</t>
  </si>
  <si>
    <t xml:space="preserve">Equifax: Sometimes, TransUnion: Primary</t>
  </si>
  <si>
    <t xml:space="preserve">Apple Card/GS Bank</t>
  </si>
  <si>
    <t xml:space="preserve">Experian (DoC 2014 onward, MyBankTracker 2016-2017, myFICO grid 2023); Equifax (DoC 2014 onward, MyBankTracker 2016-2017); TransUnion (DoC 2014 onward, MyBankTracker 2016-2017)</t>
  </si>
  <si>
    <t xml:space="preserve">Experian: Primary, Equifax: Sometimes, TransUnion: Common</t>
  </si>
  <si>
    <t xml:space="preserve">Barclays Bank</t>
  </si>
  <si>
    <t xml:space="preserve">Experian: Sometimes, TransUnion: Primary</t>
  </si>
  <si>
    <t xml:space="preserve">Campora</t>
  </si>
  <si>
    <t xml:space="preserve">Name not identified, cannot verify</t>
  </si>
  <si>
    <t xml:space="preserve">TransUnion: Primary</t>
  </si>
  <si>
    <t xml:space="preserve">Capital One Auto</t>
  </si>
  <si>
    <t xml:space="preserve">CBNA</t>
  </si>
  <si>
    <t xml:space="preserve">Experian (DoC 2014-2016, myFICO grid 2023); Equifax (DoC 2014-2016, myFICO grid 2023); TransUnion (DoC 2014-2016)</t>
  </si>
  <si>
    <t xml:space="preserve">CBNA/THD</t>
  </si>
  <si>
    <t xml:space="preserve">Experian: Primary, Equifax: Common</t>
  </si>
  <si>
    <t xml:space="preserve">Experian (DoC 2008-2014, myFICO grid 2023); Equifax (DoC 2008-2014, myFICO grid 2023); TransUnion (DoC 2008-2014)</t>
  </si>
  <si>
    <t xml:space="preserve">Citizens One</t>
  </si>
  <si>
    <t xml:space="preserve">Equifax (myFICO grid 2023)</t>
  </si>
  <si>
    <t xml:space="preserve">Experian: Sometimes, Equifax: Primary, TransUnion: Sometimes</t>
  </si>
  <si>
    <t xml:space="preserve">Citizens One Auto Fin</t>
  </si>
  <si>
    <t xml:space="preserve">Equifax: Common</t>
  </si>
  <si>
    <t xml:space="preserve">COAF</t>
  </si>
  <si>
    <t xml:space="preserve">Covius Mortgage</t>
  </si>
  <si>
    <t xml:space="preserve">Covius Mortgage Soluti</t>
  </si>
  <si>
    <t xml:space="preserve">Credco Auto</t>
  </si>
  <si>
    <t xml:space="preserve">Credit One Bank NA</t>
  </si>
  <si>
    <t xml:space="preserve">Credit Plus</t>
  </si>
  <si>
    <t xml:space="preserve">Credit Plus/Hallmark H</t>
  </si>
  <si>
    <t xml:space="preserve">Cap One NA</t>
  </si>
  <si>
    <t xml:space="preserve">Experian (myFICO grid 2023); TransUnion (myFICO grid 2023)</t>
  </si>
  <si>
    <t xml:space="preserve">Experian: Sometimes, Equifax: Sometimes, TransUnion: Primary</t>
  </si>
  <si>
    <t xml:space="preserve">Funding Suite</t>
  </si>
  <si>
    <t xml:space="preserve">TransUnion: Common</t>
  </si>
  <si>
    <t xml:space="preserve">Huntington Natl Bank</t>
  </si>
  <si>
    <t xml:space="preserve">Equifax: Primary</t>
  </si>
  <si>
    <t xml:space="preserve">Keybank</t>
  </si>
  <si>
    <t xml:space="preserve">Experian: Sometimes, Equifax: Primary</t>
  </si>
  <si>
    <t xml:space="preserve">Lightstream</t>
  </si>
  <si>
    <t xml:space="preserve">Loanme/Presteme/Ralis</t>
  </si>
  <si>
    <t xml:space="preserve">Historical: LoanMe no longer lends. Nothing published to check against; the pattern shown for this lender comes from your list</t>
  </si>
  <si>
    <t xml:space="preserve">MAJR Financial Corp</t>
  </si>
  <si>
    <t xml:space="preserve">M&amp;T Bank Direct</t>
  </si>
  <si>
    <t xml:space="preserve">M&amp;T Indirect CG&amp;S</t>
  </si>
  <si>
    <t xml:space="preserve">Modesto Toyo</t>
  </si>
  <si>
    <t xml:space="preserve">Dealer pull: bureau varies by dealer and lender</t>
  </si>
  <si>
    <t xml:space="preserve">National Tenant Network</t>
  </si>
  <si>
    <t xml:space="preserve">Tenant screening, not a lender</t>
  </si>
  <si>
    <t xml:space="preserve">Navy FCU</t>
  </si>
  <si>
    <t xml:space="preserve">Some bureaus in your row match published datapoints for this state</t>
  </si>
  <si>
    <t xml:space="preserve">Experian: Sometimes, Equifax: Common, TransUnion: Primary</t>
  </si>
  <si>
    <t xml:space="preserve">Navy Federal Cr Union</t>
  </si>
  <si>
    <t xml:space="preserve">Ncc/Brown Honda</t>
  </si>
  <si>
    <t xml:space="preserve">Nowcom/Westlake</t>
  </si>
  <si>
    <t xml:space="preserve">Nowcom/Westlake Financial</t>
  </si>
  <si>
    <t xml:space="preserve">NTB/CBNA</t>
  </si>
  <si>
    <t xml:space="preserve">Octane Lending/First C</t>
  </si>
  <si>
    <t xml:space="preserve">Onemain</t>
  </si>
  <si>
    <t xml:space="preserve">Rbs Citizens, NA</t>
  </si>
  <si>
    <t xml:space="preserve">Santander Consumer</t>
  </si>
  <si>
    <t xml:space="preserve">Sierra Motors</t>
  </si>
  <si>
    <t xml:space="preserve">Sofi Lending Corp</t>
  </si>
  <si>
    <t xml:space="preserve">Experian: Primary, TransUnion: Sometimes</t>
  </si>
  <si>
    <t xml:space="preserve">Starpoint Resort Group</t>
  </si>
  <si>
    <t xml:space="preserve">Stinson Enterpirses</t>
  </si>
  <si>
    <t xml:space="preserve">Syncb/Paypal</t>
  </si>
  <si>
    <t xml:space="preserve">Experian: Common, Equifax: Sometimes, TransUnion: Primary</t>
  </si>
  <si>
    <t xml:space="preserve">Td Auto Finance</t>
  </si>
  <si>
    <t xml:space="preserve">The Golden 1 Credit Un</t>
  </si>
  <si>
    <t xml:space="preserve">Toyota Motor Credit</t>
  </si>
  <si>
    <t xml:space="preserve">Experian: Common, Equifax: Common</t>
  </si>
  <si>
    <t xml:space="preserve">US Bank Ds Northeast</t>
  </si>
  <si>
    <t xml:space="preserve">Experian: Common, TransUnion: Common</t>
  </si>
  <si>
    <t xml:space="preserve">WFDS</t>
  </si>
  <si>
    <t xml:space="preserve">Colorado</t>
  </si>
  <si>
    <t xml:space="preserve">TransUnion (DoC 2014 onward, MyBankTracker 2016-2017)</t>
  </si>
  <si>
    <t xml:space="preserve">SYNCB/Lowe</t>
  </si>
  <si>
    <t xml:space="preserve">USAA Savings Bank</t>
  </si>
  <si>
    <t xml:space="preserve">Delaware</t>
  </si>
  <si>
    <t xml:space="preserve">BPPR WLABEL</t>
  </si>
  <si>
    <t xml:space="preserve">Capital One/Cabelas</t>
  </si>
  <si>
    <t xml:space="preserve">Experian (myFICO grid 2023); Equifax (myFICO grid 2023); TransUnion (myFICO grid 2023)</t>
  </si>
  <si>
    <t xml:space="preserve">Cap1/Cbela</t>
  </si>
  <si>
    <t xml:space="preserve">Exeter Fin</t>
  </si>
  <si>
    <t xml:space="preserve">LP/DMS/Affinity FCU/AM</t>
  </si>
  <si>
    <t xml:space="preserve">ML TAB Bank</t>
  </si>
  <si>
    <t xml:space="preserve">SYNCB/Lowe's BRC</t>
  </si>
  <si>
    <t xml:space="preserve">SYNCB</t>
  </si>
  <si>
    <t xml:space="preserve">Florida</t>
  </si>
  <si>
    <t xml:space="preserve">ACG Equipman</t>
  </si>
  <si>
    <t xml:space="preserve">Experian (DoC 2014-2016, myFICO grid 2023); Equifax (DoC 2014-2016); TransUnion (DoC 2014-2016)</t>
  </si>
  <si>
    <t xml:space="preserve">Experian (DoC 2014 onward, MyBankTracker 2016-2017); Equifax (MyBankTracker 2016-2017); TransUnion (DoC 2014 onward, MyBankTracker 2016-2017, myFICO grid 2023)</t>
  </si>
  <si>
    <t xml:space="preserve">BBT</t>
  </si>
  <si>
    <t xml:space="preserve">Equifax: Primary, TransUnion: Sometimes</t>
  </si>
  <si>
    <t xml:space="preserve">Historical: BBVA USA is now PNC. Part of your row fits the national pattern; no state-level data published</t>
  </si>
  <si>
    <t xml:space="preserve">Experian: Primary, Equifax: Sometimes</t>
  </si>
  <si>
    <t xml:space="preserve">BMO Harris Bank</t>
  </si>
  <si>
    <t xml:space="preserve">BRCLYSBANKDE</t>
  </si>
  <si>
    <t xml:space="preserve">Experian (DoC 2008-2014, myFICO grid 2023); Equifax (DoC 2008-2014, myFICO grid 2023); TransUnion (DoC 2008-2014, myFICO grid 2023)</t>
  </si>
  <si>
    <t xml:space="preserve">Citi </t>
  </si>
  <si>
    <t xml:space="preserve">Dept of Interior FCU</t>
  </si>
  <si>
    <t xml:space="preserve">Discover Bank</t>
  </si>
  <si>
    <t xml:space="preserve">Experian (myFICO grid 2023); Equifax (myFICO grid 2023)</t>
  </si>
  <si>
    <t xml:space="preserve">Flagship Credit Acce</t>
  </si>
  <si>
    <t xml:space="preserve">Equifax: Common, TransUnion: Common</t>
  </si>
  <si>
    <t xml:space="preserve">Flagship Cre</t>
  </si>
  <si>
    <t xml:space="preserve">FNBO</t>
  </si>
  <si>
    <t xml:space="preserve">FNI/Sunlight/Cross RIV</t>
  </si>
  <si>
    <t xml:space="preserve">Goldman</t>
  </si>
  <si>
    <t xml:space="preserve">Microbilt</t>
  </si>
  <si>
    <t xml:space="preserve">Alternative bureau, not a lender</t>
  </si>
  <si>
    <t xml:space="preserve">Ohio Valley</t>
  </si>
  <si>
    <t xml:space="preserve">Pentagon FCU - Alexand</t>
  </si>
  <si>
    <t xml:space="preserve">Equifax: Primary, TransUnion: Rare</t>
  </si>
  <si>
    <t xml:space="preserve">Peoples Bank</t>
  </si>
  <si>
    <t xml:space="preserve">Regions</t>
  </si>
  <si>
    <t xml:space="preserve">Suntrust</t>
  </si>
  <si>
    <t xml:space="preserve">SYNCB/CC</t>
  </si>
  <si>
    <t xml:space="preserve">Team LOC 697</t>
  </si>
  <si>
    <t xml:space="preserve">Experian: Primary, TransUnion: Rare</t>
  </si>
  <si>
    <t xml:space="preserve">Transportation Allianc</t>
  </si>
  <si>
    <t xml:space="preserve">Truist</t>
  </si>
  <si>
    <t xml:space="preserve">United Bank</t>
  </si>
  <si>
    <t xml:space="preserve">Equifax (DoC 2014-2016, myFICO grid 2023); TransUnion (DoC 2014-2016, myFICO grid 2023)</t>
  </si>
  <si>
    <t xml:space="preserve">Wesbanco Whe</t>
  </si>
  <si>
    <t xml:space="preserve">Wells Fargo</t>
  </si>
  <si>
    <t xml:space="preserve">Experian (DoC 2014-2016, myFICO grid 2023); Equifax (DoC 2014-2016)</t>
  </si>
  <si>
    <t xml:space="preserve">Georgia</t>
  </si>
  <si>
    <t xml:space="preserve">Experian (DoC 2014-2016, myFICO grid 2023); TransUnion (DoC 2014-2016, myFICO grid 2023)</t>
  </si>
  <si>
    <t xml:space="preserve">BarclaysBankDE</t>
  </si>
  <si>
    <t xml:space="preserve">Cap ONE AF</t>
  </si>
  <si>
    <t xml:space="preserve">CCB/SEPHOV</t>
  </si>
  <si>
    <t xml:space="preserve">Citiznsone</t>
  </si>
  <si>
    <t xml:space="preserve">ConsumerPor</t>
  </si>
  <si>
    <t xml:space="preserve">CPS/Mail</t>
  </si>
  <si>
    <t xml:space="preserve">GS Bank</t>
  </si>
  <si>
    <t xml:space="preserve">GsBank USA</t>
  </si>
  <si>
    <t xml:space="preserve">Mall of Geor</t>
  </si>
  <si>
    <t xml:space="preserve">MALLOFGEOR</t>
  </si>
  <si>
    <t xml:space="preserve">Prime Motor</t>
  </si>
  <si>
    <t xml:space="preserve">The Culs</t>
  </si>
  <si>
    <t xml:space="preserve">WF Card SVC</t>
  </si>
  <si>
    <t xml:space="preserve">Hawaii</t>
  </si>
  <si>
    <t xml:space="preserve">Amex</t>
  </si>
  <si>
    <t xml:space="preserve">SYNCB/Paypal</t>
  </si>
  <si>
    <t xml:space="preserve">SYNCB/PPC</t>
  </si>
  <si>
    <t xml:space="preserve">Indiana</t>
  </si>
  <si>
    <t xml:space="preserve">ADVNTGE</t>
  </si>
  <si>
    <t xml:space="preserve">Advantage Credit, Inc</t>
  </si>
  <si>
    <t xml:space="preserve">Carmel Finance</t>
  </si>
  <si>
    <t xml:space="preserve">Experian (myFICO grid 2023); TransUnion (DoC 2008-2014, myFICO grid 2023)</t>
  </si>
  <si>
    <t xml:space="preserve">Checkpoint Screening L</t>
  </si>
  <si>
    <t xml:space="preserve">Maryland</t>
  </si>
  <si>
    <t xml:space="preserve">Angel Oak Ho</t>
  </si>
  <si>
    <t xml:space="preserve">Experian (DoC 2014 onward, MyBankTracker 2016-2017); TransUnion (DoC 2014 onward)</t>
  </si>
  <si>
    <t xml:space="preserve">CCB/BJS</t>
  </si>
  <si>
    <t xml:space="preserve">Experian (DoC 2008-2014); Equifax (DoC 2008-2014); TransUnion (DoC 2008-2014)</t>
  </si>
  <si>
    <t xml:space="preserve">Check-Point</t>
  </si>
  <si>
    <t xml:space="preserve">Check-Point.com, LLC</t>
  </si>
  <si>
    <t xml:space="preserve">CREDCO</t>
  </si>
  <si>
    <t xml:space="preserve">CIC Credit</t>
  </si>
  <si>
    <t xml:space="preserve">Credit Plus/Angel Oak</t>
  </si>
  <si>
    <t xml:space="preserve">Comenity Capital/Intrul</t>
  </si>
  <si>
    <t xml:space="preserve">Factual Data</t>
  </si>
  <si>
    <t xml:space="preserve">FRC/TBOM</t>
  </si>
  <si>
    <t xml:space="preserve">IR/NAF</t>
  </si>
  <si>
    <t xml:space="preserve">IR/New American Fundin</t>
  </si>
  <si>
    <t xml:space="preserve">Kohls/Cap One</t>
  </si>
  <si>
    <t xml:space="preserve">Lifeshield</t>
  </si>
  <si>
    <t xml:space="preserve">Macys/DSNB</t>
  </si>
  <si>
    <t xml:space="preserve">New American</t>
  </si>
  <si>
    <t xml:space="preserve">One Main</t>
  </si>
  <si>
    <t xml:space="preserve">SECU</t>
  </si>
  <si>
    <t xml:space="preserve">Suntrust - Atl</t>
  </si>
  <si>
    <t xml:space="preserve">SYNCB/Old Navy</t>
  </si>
  <si>
    <t xml:space="preserve">SYNCB/OldNa</t>
  </si>
  <si>
    <t xml:space="preserve">SYNCB/HSN</t>
  </si>
  <si>
    <t xml:space="preserve">SYNCB/PayPal</t>
  </si>
  <si>
    <t xml:space="preserve">TD/Target</t>
  </si>
  <si>
    <t xml:space="preserve">THD/CBNA</t>
  </si>
  <si>
    <t xml:space="preserve">USAA Federal Savings Bank</t>
  </si>
  <si>
    <t xml:space="preserve">WF/Dillards</t>
  </si>
  <si>
    <t xml:space="preserve">1 Premier</t>
  </si>
  <si>
    <t xml:space="preserve">1st Savings</t>
  </si>
  <si>
    <t xml:space="preserve">1st NATL Bank</t>
  </si>
  <si>
    <t xml:space="preserve">Missouri</t>
  </si>
  <si>
    <t xml:space="preserve">Capital One Auto Financial</t>
  </si>
  <si>
    <t xml:space="preserve">Capone Auto</t>
  </si>
  <si>
    <t xml:space="preserve">CenturyLink</t>
  </si>
  <si>
    <t xml:space="preserve">Utility screening, not a lender</t>
  </si>
  <si>
    <t xml:space="preserve">Compass Equi</t>
  </si>
  <si>
    <t xml:space="preserve">Daimler Truck</t>
  </si>
  <si>
    <t xml:space="preserve">DSg Design</t>
  </si>
  <si>
    <t xml:space="preserve">LFGFinance</t>
  </si>
  <si>
    <t xml:space="preserve">Majr Financial Corp</t>
  </si>
  <si>
    <t xml:space="preserve">MB FIN SVC</t>
  </si>
  <si>
    <t xml:space="preserve">Northtown</t>
  </si>
  <si>
    <t xml:space="preserve">Northtowne A</t>
  </si>
  <si>
    <t xml:space="preserve">Nevada</t>
  </si>
  <si>
    <t xml:space="preserve">AHFC</t>
  </si>
  <si>
    <t xml:space="preserve">American Credit Accept</t>
  </si>
  <si>
    <t xml:space="preserve">Experian (DoC 2014 onward, MyBankTracker 2016-2017); Equifax (MyBankTracker 2016-2017); TransUnion (DoC 2014 onward)</t>
  </si>
  <si>
    <t xml:space="preserve">Barclays Bank DE</t>
  </si>
  <si>
    <t xml:space="preserve">BMO Harris B</t>
  </si>
  <si>
    <t xml:space="preserve">Capital One AF</t>
  </si>
  <si>
    <t xml:space="preserve">Experian (DoC 2014-2016); Equifax (DoC 2014-2016)</t>
  </si>
  <si>
    <t xml:space="preserve">Collins Cred</t>
  </si>
  <si>
    <t xml:space="preserve">CreditPlus</t>
  </si>
  <si>
    <t xml:space="preserve">Elements</t>
  </si>
  <si>
    <t xml:space="preserve">EMS</t>
  </si>
  <si>
    <t xml:space="preserve">EMSWellsFB</t>
  </si>
  <si>
    <t xml:space="preserve">Equifax MTG</t>
  </si>
  <si>
    <t xml:space="preserve">EVILLETEAFCU</t>
  </si>
  <si>
    <t xml:space="preserve">Exeter FIN</t>
  </si>
  <si>
    <t xml:space="preserve">FctualData</t>
  </si>
  <si>
    <t xml:space="preserve">Global Lending Service</t>
  </si>
  <si>
    <t xml:space="preserve">GlobalLend</t>
  </si>
  <si>
    <t xml:space="preserve">Honda</t>
  </si>
  <si>
    <t xml:space="preserve">Lithia VW Au</t>
  </si>
  <si>
    <t xml:space="preserve">LithiaVW</t>
  </si>
  <si>
    <t xml:space="preserve">Rategenius</t>
  </si>
  <si>
    <t xml:space="preserve">Service FIN</t>
  </si>
  <si>
    <t xml:space="preserve">SouthernCA</t>
  </si>
  <si>
    <t xml:space="preserve">T2 Financial</t>
  </si>
  <si>
    <t xml:space="preserve">VCU Lending</t>
  </si>
  <si>
    <t xml:space="preserve">Veridian CU</t>
  </si>
  <si>
    <t xml:space="preserve">Weststar Credit Union</t>
  </si>
  <si>
    <t xml:space="preserve">New Jersey</t>
  </si>
  <si>
    <t xml:space="preserve">Experian (DoC 2014-2016, myFICO grid 2023)</t>
  </si>
  <si>
    <t xml:space="preserve">Experian (DoC 2014 onward, MyBankTracker 2016-2017, myFICO grid 2023); TransUnion (DoC 2014 onward, myFICO grid 2023)</t>
  </si>
  <si>
    <t xml:space="preserve">CB/Wayfair</t>
  </si>
  <si>
    <t xml:space="preserve">Experian Business Cred</t>
  </si>
  <si>
    <t xml:space="preserve">Bureau self-inquiry, not a lender</t>
  </si>
  <si>
    <t xml:space="preserve">Payroc Payment Systems</t>
  </si>
  <si>
    <t xml:space="preserve">Merchant processor, not a funding pull</t>
  </si>
  <si>
    <t xml:space="preserve">Trans Union</t>
  </si>
  <si>
    <t xml:space="preserve">US Bancorp</t>
  </si>
  <si>
    <t xml:space="preserve">New York</t>
  </si>
  <si>
    <t xml:space="preserve">Experian (DoC 2014 onward, MyBankTracker 2016-2017, myFICO grid 2023); Equifax (DoC 2014 onward); TransUnion (DoC 2014 onward)</t>
  </si>
  <si>
    <t xml:space="preserve">Experian (DoC 2008-2014, myFICO grid 2023); Equifax (DoC 2008-2014); TransUnion (DoC 2008-2014)</t>
  </si>
  <si>
    <t xml:space="preserve">Dept of Ed</t>
  </si>
  <si>
    <t xml:space="preserve">Federal student loan check</t>
  </si>
  <si>
    <t xml:space="preserve">Electronic Payments - Acq</t>
  </si>
  <si>
    <t xml:space="preserve">Texas</t>
  </si>
  <si>
    <t xml:space="preserve">700Cr/South Point</t>
  </si>
  <si>
    <t xml:space="preserve">Reseller: bureau chosen by the dealer</t>
  </si>
  <si>
    <t xml:space="preserve">Credit Plus/First</t>
  </si>
  <si>
    <t xml:space="preserve">Credit Plus/Mid Americ</t>
  </si>
  <si>
    <t xml:space="preserve">Scott Stark Enterprise</t>
  </si>
  <si>
    <t xml:space="preserve">Syncb/Amazon</t>
  </si>
  <si>
    <t xml:space="preserve">US Bank Dealer</t>
  </si>
  <si>
    <t xml:space="preserve">Washington</t>
  </si>
  <si>
    <t xml:space="preserve">Experian (DoC 2008-2014, myFICO grid 2023); Equifax (myFICO grid 2023); TransUnion (DoC 2008-2014)</t>
  </si>
  <si>
    <t xml:space="preserve">CIS</t>
  </si>
  <si>
    <t xml:space="preserve">CIS/Fairway Independ</t>
  </si>
  <si>
    <t xml:space="preserve">CIS West</t>
  </si>
  <si>
    <t xml:space="preserve">Credco</t>
  </si>
  <si>
    <t xml:space="preserve">EMSNavyFCU</t>
  </si>
  <si>
    <t xml:space="preserve">Equifax Mortgage Solut</t>
  </si>
  <si>
    <t xml:space="preserve">Rentgrow</t>
  </si>
  <si>
    <t xml:space="preserve">TD Bank N.A. </t>
  </si>
  <si>
    <t xml:space="preserve">United One Resources I</t>
  </si>
  <si>
    <t xml:space="preserve">Unitedone</t>
  </si>
  <si>
    <t xml:space="preserve">Equifax (myFICO grid 2023); TransUnion (DoC 2014-2016, myFICO grid 2023)</t>
  </si>
  <si>
    <t xml:space="preserve">Issuer / Lender</t>
  </si>
  <si>
    <t xml:space="preserve">Most Reported</t>
  </si>
  <si>
    <t xml:space="preserve">Source</t>
  </si>
  <si>
    <t xml:space="preserve">Data Period</t>
  </si>
  <si>
    <t xml:space="preserve">Link</t>
  </si>
  <si>
    <t xml:space="preserve">Affinity FCU</t>
  </si>
  <si>
    <t xml:space="preserve">As of Jul 2023</t>
  </si>
  <si>
    <t xml:space="preserve">https://ficoforums.myfico.com/t5/General-Credit-Topics/Which-Report-Will-They-Pull-Part-2/td-p/6379773</t>
  </si>
  <si>
    <t xml:space="preserve">Alliant CU</t>
  </si>
  <si>
    <t xml:space="preserve">Ally Bank</t>
  </si>
  <si>
    <t xml:space="preserve">MD</t>
  </si>
  <si>
    <t xml:space="preserve">Experian / TransUnion</t>
  </si>
  <si>
    <t xml:space="preserve">Amalgamated Bank</t>
  </si>
  <si>
    <t xml:space="preserve">GA</t>
  </si>
  <si>
    <t xml:space="preserve">Amegy Bank of TX</t>
  </si>
  <si>
    <t xml:space="preserve">AL</t>
  </si>
  <si>
    <t xml:space="preserve">2014-2016</t>
  </si>
  <si>
    <t xml:space="preserve">https://www.doctorofcredit.com/credit-bureau-american-express-pull</t>
  </si>
  <si>
    <t xml:space="preserve">AR</t>
  </si>
  <si>
    <t xml:space="preserve">AZ</t>
  </si>
  <si>
    <t xml:space="preserve">CO</t>
  </si>
  <si>
    <t xml:space="preserve">CT</t>
  </si>
  <si>
    <t xml:space="preserve">DC</t>
  </si>
  <si>
    <t xml:space="preserve">DE</t>
  </si>
  <si>
    <t xml:space="preserve">IL</t>
  </si>
  <si>
    <t xml:space="preserve">KY</t>
  </si>
  <si>
    <t xml:space="preserve">LA</t>
  </si>
  <si>
    <t xml:space="preserve">MI</t>
  </si>
  <si>
    <t xml:space="preserve">MO</t>
  </si>
  <si>
    <t xml:space="preserve">MS</t>
  </si>
  <si>
    <t xml:space="preserve">Experian / Equifax</t>
  </si>
  <si>
    <t xml:space="preserve">NC</t>
  </si>
  <si>
    <t xml:space="preserve">NH</t>
  </si>
  <si>
    <t xml:space="preserve">NM</t>
  </si>
  <si>
    <t xml:space="preserve">NV</t>
  </si>
  <si>
    <t xml:space="preserve">OH</t>
  </si>
  <si>
    <t xml:space="preserve">OK</t>
  </si>
  <si>
    <t xml:space="preserve">OR</t>
  </si>
  <si>
    <t xml:space="preserve">TN</t>
  </si>
  <si>
    <t xml:space="preserve">UT</t>
  </si>
  <si>
    <t xml:space="preserve">VA</t>
  </si>
  <si>
    <t xml:space="preserve">WA</t>
  </si>
  <si>
    <t xml:space="preserve">WI</t>
  </si>
  <si>
    <t xml:space="preserve">AOD FCU</t>
  </si>
  <si>
    <t xml:space="preserve">Arvest Bank</t>
  </si>
  <si>
    <t xml:space="preserve">Aspire CU</t>
  </si>
  <si>
    <t xml:space="preserve">Azura Federal CU</t>
  </si>
  <si>
    <t xml:space="preserve">Banc of California (Elan)</t>
  </si>
  <si>
    <t xml:space="preserve">AK</t>
  </si>
  <si>
    <t xml:space="preserve">2014 onward</t>
  </si>
  <si>
    <t xml:space="preserve">https://www.doctorofcredit.com/credit-bureau-bank-america-pull/</t>
  </si>
  <si>
    <t xml:space="preserve">MyBankTracker: Which Credit Report Does Bank of America Pull?</t>
  </si>
  <si>
    <t xml:space="preserve">2016-2017</t>
  </si>
  <si>
    <t xml:space="preserve">https://mybanktracker.com/credit-cards/credit-score/credit-report-bank-of-america-pull-273501</t>
  </si>
  <si>
    <t xml:space="preserve">Equifax / TransUnion</t>
  </si>
  <si>
    <t xml:space="preserve">HI</t>
  </si>
  <si>
    <t xml:space="preserve">RI</t>
  </si>
  <si>
    <t xml:space="preserve">WV</t>
  </si>
  <si>
    <t xml:space="preserve">Bank of Missouri (Ollo/SoFi)</t>
  </si>
  <si>
    <t xml:space="preserve">Barclays</t>
  </si>
  <si>
    <t xml:space="preserve">BB&amp;T (now Truist)</t>
  </si>
  <si>
    <t xml:space="preserve">BBVA (now PNC)</t>
  </si>
  <si>
    <t xml:space="preserve">Beneficial State Bank (Aspiration)</t>
  </si>
  <si>
    <t xml:space="preserve">BMO Harris (now BMO)</t>
  </si>
  <si>
    <t xml:space="preserve">California Bank &amp; Trust</t>
  </si>
  <si>
    <t xml:space="preserve">Experian / Equifax / TransUnion</t>
  </si>
  <si>
    <t xml:space="preserve">Celtic Bank (UT)</t>
  </si>
  <si>
    <t xml:space="preserve">Chartway FCU</t>
  </si>
  <si>
    <t xml:space="preserve">Citi</t>
  </si>
  <si>
    <t xml:space="preserve">https://www.doctorofcredit.com/credit-bureau-citibank-pull/</t>
  </si>
  <si>
    <t xml:space="preserve">IA</t>
  </si>
  <si>
    <t xml:space="preserve">ME</t>
  </si>
  <si>
    <t xml:space="preserve">MT</t>
  </si>
  <si>
    <t xml:space="preserve">SD</t>
  </si>
  <si>
    <t xml:space="preserve">Citizens Bank</t>
  </si>
  <si>
    <t xml:space="preserve">City National Bank</t>
  </si>
  <si>
    <t xml:space="preserve">Comenity Majors (Visa/MC co-brands)</t>
  </si>
  <si>
    <t xml:space="preserve">Comenity Minors (store-only cards)</t>
  </si>
  <si>
    <t xml:space="preserve">Commerce Bank</t>
  </si>
  <si>
    <t xml:space="preserve">Consumers CU</t>
  </si>
  <si>
    <t xml:space="preserve">Credit One</t>
  </si>
  <si>
    <t xml:space="preserve">DCU</t>
  </si>
  <si>
    <t xml:space="preserve">Discover (no prequal)</t>
  </si>
  <si>
    <t xml:space="preserve">Discover (with prequal)</t>
  </si>
  <si>
    <t xml:space="preserve">Dover CU</t>
  </si>
  <si>
    <t xml:space="preserve">Elan Financial Services</t>
  </si>
  <si>
    <t xml:space="preserve">Evansville Teachers FCU</t>
  </si>
  <si>
    <t xml:space="preserve">Fairwinds CU</t>
  </si>
  <si>
    <t xml:space="preserve">Fifth Third</t>
  </si>
  <si>
    <t xml:space="preserve">First Bank &amp; Trust (Mercury)</t>
  </si>
  <si>
    <t xml:space="preserve">First Electronic Bank (Cardless)</t>
  </si>
  <si>
    <t xml:space="preserve">First Savings Bank (Blaze MC)</t>
  </si>
  <si>
    <t xml:space="preserve">First Tech CU</t>
  </si>
  <si>
    <t xml:space="preserve">Founders FCU</t>
  </si>
  <si>
    <t xml:space="preserve">GE Credit Union</t>
  </si>
  <si>
    <t xml:space="preserve">Goldman Sachs (Apple Card)</t>
  </si>
  <si>
    <t xml:space="preserve">GreenState FCU (IA)</t>
  </si>
  <si>
    <t xml:space="preserve">HSBC</t>
  </si>
  <si>
    <t xml:space="preserve">Huntington</t>
  </si>
  <si>
    <t xml:space="preserve">TransUnion (listed first)</t>
  </si>
  <si>
    <t xml:space="preserve">Doctor of Credit: Which Credit Bureau Does Chase Pull? (state chart)</t>
  </si>
  <si>
    <t xml:space="preserve">2008-2014</t>
  </si>
  <si>
    <t xml:space="preserve">https://www.doctorofcredit.com/knowledge-base/which-credit-bureau-does-chase-pull</t>
  </si>
  <si>
    <t xml:space="preserve">Experian (listed first)</t>
  </si>
  <si>
    <t xml:space="preserve">Equifax (listed first)</t>
  </si>
  <si>
    <t xml:space="preserve">NE</t>
  </si>
  <si>
    <t xml:space="preserve">VT</t>
  </si>
  <si>
    <t xml:space="preserve">Keypoint FCU</t>
  </si>
  <si>
    <t xml:space="preserve">Lake Michigan CU</t>
  </si>
  <si>
    <t xml:space="preserve">Langley FCU</t>
  </si>
  <si>
    <t xml:space="preserve">Macy's Amex (Citi/DSNB)</t>
  </si>
  <si>
    <t xml:space="preserve">Max FCU (AL)</t>
  </si>
  <si>
    <t xml:space="preserve">MI Schools &amp; Govt CU</t>
  </si>
  <si>
    <t xml:space="preserve">MidFlorida FCU</t>
  </si>
  <si>
    <t xml:space="preserve">Mission Lane</t>
  </si>
  <si>
    <t xml:space="preserve">Municipal Credit Union (NY)</t>
  </si>
  <si>
    <t xml:space="preserve">NASA Federal CU</t>
  </si>
  <si>
    <t xml:space="preserve">National Bank of Arizona</t>
  </si>
  <si>
    <t xml:space="preserve">Navy Federal (CLIs)</t>
  </si>
  <si>
    <t xml:space="preserve">Navy Federal (new apps)</t>
  </si>
  <si>
    <t xml:space="preserve">Nevada State Bank</t>
  </si>
  <si>
    <t xml:space="preserve">NorthPark Community CU</t>
  </si>
  <si>
    <t xml:space="preserve">Northwest FCU</t>
  </si>
  <si>
    <t xml:space="preserve">Nusenda CU</t>
  </si>
  <si>
    <t xml:space="preserve">Palmetto Citizens FCU</t>
  </si>
  <si>
    <t xml:space="preserve">Patelco CU</t>
  </si>
  <si>
    <t xml:space="preserve">PCM CU (WI)</t>
  </si>
  <si>
    <t xml:space="preserve">PenFed</t>
  </si>
  <si>
    <t xml:space="preserve">PNC</t>
  </si>
  <si>
    <t xml:space="preserve">Redstone FCU</t>
  </si>
  <si>
    <t xml:space="preserve">Safe CU</t>
  </si>
  <si>
    <t xml:space="preserve">SECU (MD)</t>
  </si>
  <si>
    <t xml:space="preserve">Service CU</t>
  </si>
  <si>
    <t xml:space="preserve">Skyone FCU</t>
  </si>
  <si>
    <t xml:space="preserve">SoFi Securities</t>
  </si>
  <si>
    <t xml:space="preserve">State Dept FCU (SDFCU)</t>
  </si>
  <si>
    <t xml:space="preserve">Synchrony</t>
  </si>
  <si>
    <t xml:space="preserve">Synovus</t>
  </si>
  <si>
    <t xml:space="preserve">TD Bank (Target)</t>
  </si>
  <si>
    <t xml:space="preserve">Twinstar CU (WA)</t>
  </si>
  <si>
    <t xml:space="preserve">https://www.doctorofcredit.com/credit-bureau-u-s-bank-pull</t>
  </si>
  <si>
    <t xml:space="preserve">myFICO Forums: U.S. Bank pulls</t>
  </si>
  <si>
    <t xml:space="preserve">2026</t>
  </si>
  <si>
    <t xml:space="preserve">https://ficoforums.myfico.com/t5/General-Credit-Topics/U-S-Bank-pulls/td-p/6868435</t>
  </si>
  <si>
    <t xml:space="preserve">UMB</t>
  </si>
  <si>
    <t xml:space="preserve">Umpqua Bank</t>
  </si>
  <si>
    <t xml:space="preserve">United Nations FCU</t>
  </si>
  <si>
    <t xml:space="preserve">USAA</t>
  </si>
  <si>
    <t xml:space="preserve">Veridian CU (Iowa)</t>
  </si>
  <si>
    <t xml:space="preserve">Virginia Credit Union</t>
  </si>
  <si>
    <t xml:space="preserve">WebBank</t>
  </si>
  <si>
    <t xml:space="preserve">https://www.doctorofcredit.com/credit-bureau-wells-fargo-pull</t>
  </si>
  <si>
    <t xml:space="preserve">Zions Bank</t>
  </si>
  <si>
    <t xml:space="preserve">Numbers are counts of consumer-reported pulls. An x means the bureau was reported with no count given. Entries marked MP on the myFICO grid are not a US state code and were left out.</t>
  </si>
  <si>
    <t xml:space="preserve">Best Funding Sequence From Scratch, by Credit Score Tier</t>
  </si>
  <si>
    <t xml:space="preserve">Rules that apply at every tier</t>
  </si>
  <si>
    <t xml:space="preserve">Read your own reports first</t>
  </si>
  <si>
    <t xml:space="preserve">Pull all three reports at annualcreditreport.com and note which bureau is cleanest. Use the Lender Database tab to pick lenders that pull that bureau in your state.</t>
  </si>
  <si>
    <t xml:space="preserve">Spread inquiries across bureaus</t>
  </si>
  <si>
    <t xml:space="preserve">Experian-leaning: Chase, Amex, Wells Fargo, Bank of America, FNBO, PNC, M&amp;T, TD, USAA. TransUnion-leaning: U.S. Bank, Barclays, Synchrony, Navy Federal, Elan, Apple Card. Equifax-leaning: Truist, Citizens, PenFed, DCU, Huntington, KeyBank, Target (TD). All three: Capital One. Applying to one lender from each group keeps any single report from stacking up.</t>
  </si>
  <si>
    <t xml:space="preserve">Order by strictest rule first</t>
  </si>
  <si>
    <t xml:space="preserve">Chase goes first because of 5/24. Then Amex (2 cards per 90 days), then U.S. Bank (dislikes 5+ new accounts in 12 months), then Wells Fargo, then Bank of America, then regionals. Capital One goes last because it hits all three bureaus and most of its business cards report to personal credit.</t>
  </si>
  <si>
    <t xml:space="preserve">Soft pulls before hard pulls</t>
  </si>
  <si>
    <t xml:space="preserve">Use prequalification tools (Capital One, Discover, Amex Apply With Confidence, Upstart, Upgrade, Fundbox, Capital on Tap) to see offers before taking a hard inquiry.</t>
  </si>
  <si>
    <t xml:space="preserve">Business credit runs in parallel at every tier</t>
  </si>
  <si>
    <t xml:space="preserve">Form the entity, get an EIN and D-U-N-S number, open a business checking account, then add 3 to 5 net-30 vendors. None of this touches personal credit and it supports every later application.</t>
  </si>
  <si>
    <t xml:space="preserve">Stated income is still a statement under penalty of law</t>
  </si>
  <si>
    <t xml:space="preserve">Low-doc and no-doc mean the lender does not collect tax returns up front. Income and revenue figures must be accurate, and lenders can ask for proof later (Amex financial reviews are the best known example).</t>
  </si>
  <si>
    <t xml:space="preserve">These are patterns, not guarantees</t>
  </si>
  <si>
    <t xml:space="preserve">Minimum scores are published floors or community estimates. Income, debt-to-income, utilization, account age, recent inquiries and deposits decide the outcome as much as the score.</t>
  </si>
  <si>
    <t xml:space="preserve">Score Tier</t>
  </si>
  <si>
    <t xml:space="preserve">Step</t>
  </si>
  <si>
    <t xml:space="preserve">Timing</t>
  </si>
  <si>
    <t xml:space="preserve">Action</t>
  </si>
  <si>
    <t xml:space="preserve">Lenders / Products</t>
  </si>
  <si>
    <t xml:space="preserve">Bureau Likely Pulled</t>
  </si>
  <si>
    <t xml:space="preserve">Typical Amount</t>
  </si>
  <si>
    <t xml:space="preserve">Why Here / Notes</t>
  </si>
  <si>
    <t xml:space="preserve">500-549</t>
  </si>
  <si>
    <t xml:space="preserve">Day 0</t>
  </si>
  <si>
    <t xml:space="preserve">Pull all three reports, dispute errors, bring every past-due account current. No hard pulls.</t>
  </si>
  <si>
    <t xml:space="preserve">annualcreditreport.com</t>
  </si>
  <si>
    <t xml:space="preserve">Credit repair groundwork</t>
  </si>
  <si>
    <t xml:space="preserve">Late payments and collections drive this tier more than anything you can open.</t>
  </si>
  <si>
    <t xml:space="preserve">Week 1</t>
  </si>
  <si>
    <t xml:space="preserve">Open one or two no-credit-check builder products.</t>
  </si>
  <si>
    <t xml:space="preserve">Self, Credit Strong, Kikoff; OpenSky Plus Secured; Chime Credit Builder; Current Build</t>
  </si>
  <si>
    <t xml:space="preserve">Credit builder loan, secured card</t>
  </si>
  <si>
    <t xml:space="preserve">$200 to $500 limits</t>
  </si>
  <si>
    <t xml:space="preserve">Adds positive tradelines on all three bureaus with zero inquiry cost.</t>
  </si>
  <si>
    <t xml:space="preserve">Week 1-4</t>
  </si>
  <si>
    <t xml:space="preserve">Join a credit union and add a share-secured loan or secured card.</t>
  </si>
  <si>
    <t xml:space="preserve">Navy Federal (if eligible), local credit union</t>
  </si>
  <si>
    <t xml:space="preserve">Secured card, share-secured loan</t>
  </si>
  <si>
    <t xml:space="preserve">Navy Federal: TransUnion, sometimes a double pull</t>
  </si>
  <si>
    <t xml:space="preserve">$200 to $2,000</t>
  </si>
  <si>
    <t xml:space="preserve">Credit unions weigh the relationship. Membership now pays off at the 600+ tiers.</t>
  </si>
  <si>
    <t xml:space="preserve">Month 1</t>
  </si>
  <si>
    <t xml:space="preserve">Ask to be added as an authorized user on an old, low-balance card.</t>
  </si>
  <si>
    <t xml:space="preserve">Family member's card</t>
  </si>
  <si>
    <t xml:space="preserve">Authorized user tradeline</t>
  </si>
  <si>
    <t xml:space="preserve">Adds age and available credit. Works best with issuers that report authorized users to all three bureaus.</t>
  </si>
  <si>
    <t xml:space="preserve">Month 1-3</t>
  </si>
  <si>
    <t xml:space="preserve">Build the business file: entity, EIN, D-U-N-S, business checking, 3 to 5 net-30 vendors.</t>
  </si>
  <si>
    <t xml:space="preserve">Uline, Quill, Grainger, Crown Office Supplies</t>
  </si>
  <si>
    <t xml:space="preserve">Vendor trade credit</t>
  </si>
  <si>
    <t xml:space="preserve">$500 to $2,000 per vendor</t>
  </si>
  <si>
    <t xml:space="preserve">Reports to D&amp;B, Experian Business and Equifax Business. Independent of your FICO.</t>
  </si>
  <si>
    <t xml:space="preserve">When revenue exists</t>
  </si>
  <si>
    <t xml:space="preserve">Use funding that is not score based.</t>
  </si>
  <si>
    <t xml:space="preserve">Kiva (0%, up to $15,000); Grameen America; altLINE or FundThrough factoring; PayPal, Square, Shopify or Stripe capital</t>
  </si>
  <si>
    <t xml:space="preserve">Microloan, factoring, sales-based advance</t>
  </si>
  <si>
    <t xml:space="preserve">No hard pull in most cases</t>
  </si>
  <si>
    <t xml:space="preserve">$500 to $15,000 (more for factoring)</t>
  </si>
  <si>
    <t xml:space="preserve">Approval rests on your network, your customers' credit or your sales history.</t>
  </si>
  <si>
    <t xml:space="preserve">Only if urgent</t>
  </si>
  <si>
    <t xml:space="preserve">Last-resort capital.</t>
  </si>
  <si>
    <t xml:space="preserve">SBG Funding (500); Forward Financing (500); Uplyft (500); Giggle Finance (300); Taycor equipment (550)</t>
  </si>
  <si>
    <t xml:space="preserve">Short-term loan, merchant cash advance, equipment</t>
  </si>
  <si>
    <t xml:space="preserve">Soft or hard varies; bank statements only</t>
  </si>
  <si>
    <t xml:space="preserve">$5,000 and up</t>
  </si>
  <si>
    <t xml:space="preserve">Very expensive. A cash advance can trap a thin-margin business in daily debits. Price it as a factor rate and compare.</t>
  </si>
  <si>
    <t xml:space="preserve">Month 6+</t>
  </si>
  <si>
    <t xml:space="preserve">Graduate: 6 months of on-time payments, utilization under 10%, no new collections.</t>
  </si>
  <si>
    <t xml:space="preserve">Checkpoint</t>
  </si>
  <si>
    <t xml:space="preserve">Typical lift moves you into the 550-599 plan.</t>
  </si>
  <si>
    <t xml:space="preserve">550-599</t>
  </si>
  <si>
    <t xml:space="preserve">Check prequalification tools (soft pulls only).</t>
  </si>
  <si>
    <t xml:space="preserve">Capital One, Mission Lane, Credit One, AvantCard, Discover</t>
  </si>
  <si>
    <t xml:space="preserve">Unsecured starter cards</t>
  </si>
  <si>
    <t xml:space="preserve">Soft pull</t>
  </si>
  <si>
    <t xml:space="preserve">$300 to $1,000</t>
  </si>
  <si>
    <t xml:space="preserve">Shows what is approvable before spending an inquiry.</t>
  </si>
  <si>
    <t xml:space="preserve">Take one starter card, secured if no unsecured offer appears.</t>
  </si>
  <si>
    <t xml:space="preserve">Capital One Platinum Secured ($49 to $200 deposit); Discover it Secured; Mission Lane; Credit One</t>
  </si>
  <si>
    <t xml:space="preserve">Secured or subprime card</t>
  </si>
  <si>
    <t xml:space="preserve">Capital One: all three. Credit One: Experian. Mission Lane: TransUnion. Discover: Experian or Equifax</t>
  </si>
  <si>
    <t xml:space="preserve">$200 to $1,000</t>
  </si>
  <si>
    <t xml:space="preserve">Pick the card that pulls your strongest bureau. Avoid fee-heavy cards (First Premier) unless nothing else approves.</t>
  </si>
  <si>
    <t xml:space="preserve">Keep adding net-30 vendors, then store-level business credit.</t>
  </si>
  <si>
    <t xml:space="preserve">Uline, Quill, Grainger, then Amazon Business, Home Depot or Lowe's commercial</t>
  </si>
  <si>
    <t xml:space="preserve">Vendor and store trade credit</t>
  </si>
  <si>
    <t xml:space="preserve">Usually no personal pull for net-30</t>
  </si>
  <si>
    <t xml:space="preserve">$1,000 to $5,000</t>
  </si>
  <si>
    <t xml:space="preserve">Five reporting trade lines is the usual target before applying for business cards.</t>
  </si>
  <si>
    <t xml:space="preserve">Month 2+</t>
  </si>
  <si>
    <t xml:space="preserve">CDFI and microloan funding.</t>
  </si>
  <si>
    <t xml:space="preserve">Ascendus (575); Kiva; LiftFund; SBA Microloan intermediaries; Accion Opportunity Fund</t>
  </si>
  <si>
    <t xml:space="preserve">Microloan</t>
  </si>
  <si>
    <t xml:space="preserve">Varies; often soft pull first</t>
  </si>
  <si>
    <t xml:space="preserve">$500 to $50,000</t>
  </si>
  <si>
    <t xml:space="preserve">Mission lenders price far below online lenders and accept thin or bruised credit.</t>
  </si>
  <si>
    <t xml:space="preserve">If personal capital is needed</t>
  </si>
  <si>
    <t xml:space="preserve">Near-prime personal loans with soft pull prequalification.</t>
  </si>
  <si>
    <t xml:space="preserve">Upstart (no minimum); Prosper (560); Avant (550 to 580); OneMain (secured option)</t>
  </si>
  <si>
    <t xml:space="preserve">Personal loan</t>
  </si>
  <si>
    <t xml:space="preserve">Upstart: any bureau. Prosper: TransUnion. OneMain: varies</t>
  </si>
  <si>
    <t xml:space="preserve">$1,000 to $20,000</t>
  </si>
  <si>
    <t xml:space="preserve">Rates are high at this tier. Borrow only what the business can repay from cash flow.</t>
  </si>
  <si>
    <t xml:space="preserve">If equipment is the need</t>
  </si>
  <si>
    <t xml:space="preserve">Equipment financing secured by the asset.</t>
  </si>
  <si>
    <t xml:space="preserve">Taycor (550); Creditfy (550)</t>
  </si>
  <si>
    <t xml:space="preserve">Equipment loan or lease</t>
  </si>
  <si>
    <t xml:space="preserve">Soft pull at pre-approval</t>
  </si>
  <si>
    <t xml:space="preserve">$5,000 to $250,000</t>
  </si>
  <si>
    <t xml:space="preserve">The equipment is the collateral, so score matters less.</t>
  </si>
  <si>
    <t xml:space="preserve">With 6+ months of revenue</t>
  </si>
  <si>
    <t xml:space="preserve">Revenue-based business funding.</t>
  </si>
  <si>
    <t xml:space="preserve">Fora Financial (570); SBG Funding (500); factoring</t>
  </si>
  <si>
    <t xml:space="preserve">Short-term loan, factoring</t>
  </si>
  <si>
    <t xml:space="preserve">Bank statements only</t>
  </si>
  <si>
    <t xml:space="preserve">Step up from a cash advance. Fundbox opens at 600.</t>
  </si>
  <si>
    <t xml:space="preserve">Graduate at 600: ask for limit increases, keep utilization under 10%.</t>
  </si>
  <si>
    <t xml:space="preserve">600-649</t>
  </si>
  <si>
    <t xml:space="preserve">Soft pull checks across cards, loans and business lines.</t>
  </si>
  <si>
    <t xml:space="preserve">Capital One, Discover, Upgrade, Fundbox, Capital on Tap</t>
  </si>
  <si>
    <t xml:space="preserve">Prequalification</t>
  </si>
  <si>
    <t xml:space="preserve">First mainstream unsecured cards.</t>
  </si>
  <si>
    <t xml:space="preserve">Capital One Platinum or QuicksilverOne; Discover it; Synchrony or Comenity store cards</t>
  </si>
  <si>
    <t xml:space="preserve">Unsecured cards</t>
  </si>
  <si>
    <t xml:space="preserve">Capital One: all three. Discover: Experian. Synchrony: TransUnion. Comenity store cards: Equifax</t>
  </si>
  <si>
    <t xml:space="preserve">$500 to $3,000</t>
  </si>
  <si>
    <t xml:space="preserve">One card per bureau family keeps inquiries spread.</t>
  </si>
  <si>
    <t xml:space="preserve">Week 2-4</t>
  </si>
  <si>
    <t xml:space="preserve">Credit union relationship products.</t>
  </si>
  <si>
    <t xml:space="preserve">Navy Federal cashRewards and checking line of credit; PenFed; DCU; Patelco personal loan (630)</t>
  </si>
  <si>
    <t xml:space="preserve">Card, personal line, personal loan</t>
  </si>
  <si>
    <t xml:space="preserve">Navy Federal: TransUnion. PenFed and DCU: Equifax. Patelco: Experian</t>
  </si>
  <si>
    <t xml:space="preserve">$1,000 to $15,000</t>
  </si>
  <si>
    <t xml:space="preserve">Navy Federal is known for strong limits to members with modest scores.</t>
  </si>
  <si>
    <t xml:space="preserve">Month 1-2</t>
  </si>
  <si>
    <t xml:space="preserve">First business line of credit, low doc.</t>
  </si>
  <si>
    <t xml:space="preserve">Fundbox (600, 3 months in business, $30,000 revenue); Headway Capital</t>
  </si>
  <si>
    <t xml:space="preserve">Business line of credit</t>
  </si>
  <si>
    <t xml:space="preserve">Soft pull to see the offer; bank link only</t>
  </si>
  <si>
    <t xml:space="preserve">$5,000 to $100,000</t>
  </si>
  <si>
    <t xml:space="preserve">The easiest true line of credit for a young business.</t>
  </si>
  <si>
    <t xml:space="preserve">At 625+ with 12 months in business</t>
  </si>
  <si>
    <t xml:space="preserve">Larger online lines and short-term loans.</t>
  </si>
  <si>
    <t xml:space="preserve">OnDeck (625, $100,000 revenue); Bluevine (625, $120,000 revenue)</t>
  </si>
  <si>
    <t xml:space="preserve">Line of credit, term loan</t>
  </si>
  <si>
    <t xml:space="preserve">Bank statements; hard pull at funding</t>
  </si>
  <si>
    <t xml:space="preserve">$10,000 to $200,000</t>
  </si>
  <si>
    <t xml:space="preserve">Three months of statements instead of tax returns.</t>
  </si>
  <si>
    <t xml:space="preserve">Any time</t>
  </si>
  <si>
    <t xml:space="preserve">Mission and SBA micro funding.</t>
  </si>
  <si>
    <t xml:space="preserve">SBA Microloan (about 620); Accion Opportunity Fund (about 600)</t>
  </si>
  <si>
    <t xml:space="preserve">Microloan, small business loan</t>
  </si>
  <si>
    <t xml:space="preserve">$5,000 to $350,000</t>
  </si>
  <si>
    <t xml:space="preserve">Best pricing available at this tier.</t>
  </si>
  <si>
    <t xml:space="preserve">Fair-credit personal loans.</t>
  </si>
  <si>
    <t xml:space="preserve">Upgrade (580 to 600); Happen Bank, formerly LendingClub (600); Best Egg (640)</t>
  </si>
  <si>
    <t xml:space="preserve">Upgrade and Happen Bank: TransUnion. Best Egg: Experian or TransUnion</t>
  </si>
  <si>
    <t xml:space="preserve">$1,000 to $50,000</t>
  </si>
  <si>
    <t xml:space="preserve">Real estate</t>
  </si>
  <si>
    <t xml:space="preserve">Entry mortgage and investor options.</t>
  </si>
  <si>
    <t xml:space="preserve">FHA at 580+ with 3.5% down; DSCR lenders from about 620 to 660</t>
  </si>
  <si>
    <t xml:space="preserve">Mortgage, DSCR loan</t>
  </si>
  <si>
    <t xml:space="preserve">Tri-merge, all three bureaus</t>
  </si>
  <si>
    <t xml:space="preserve">Property based</t>
  </si>
  <si>
    <t xml:space="preserve">Lender overlays often require 620 or higher.</t>
  </si>
  <si>
    <t xml:space="preserve">Graduate at 650 to 670 before touching Chase, Amex or U.S. Bank.</t>
  </si>
  <si>
    <t xml:space="preserve">Applying too early wastes inquiries and adds to your 5/24 count.</t>
  </si>
  <si>
    <t xml:space="preserve">650-699</t>
  </si>
  <si>
    <t xml:space="preserve">Confirm you are under 5/24 and have under 3 inquiries per bureau in the past 6 months.</t>
  </si>
  <si>
    <t xml:space="preserve">Open a Chase business checking account first if possible; an existing relationship helps.</t>
  </si>
  <si>
    <t xml:space="preserve">Round 1 (at 670+)</t>
  </si>
  <si>
    <t xml:space="preserve">Chase business card.</t>
  </si>
  <si>
    <t xml:space="preserve">Chase Ink Business Unlimited or Ink Business Cash</t>
  </si>
  <si>
    <t xml:space="preserve">0% intro APR business card</t>
  </si>
  <si>
    <t xml:space="preserve">Experian most often; Equifax or a double pull in some states</t>
  </si>
  <si>
    <t xml:space="preserve">$3,000 to $15,000</t>
  </si>
  <si>
    <t xml:space="preserve">Chase first because of 5/24. Does not report to personal credit.</t>
  </si>
  <si>
    <t xml:space="preserve">Round 2, 7 to 14 days later</t>
  </si>
  <si>
    <t xml:space="preserve">Amex business cards and line of credit.</t>
  </si>
  <si>
    <t xml:space="preserve">Amex Blue Business Cash and Blue Business Plus; Amex Business Line of Credit (660, 1 year in business, $3,000 monthly revenue)</t>
  </si>
  <si>
    <t xml:space="preserve">0% intro APR business cards; business line of credit</t>
  </si>
  <si>
    <t xml:space="preserve">Experian; existing Amex customers are often approved on a soft pull</t>
  </si>
  <si>
    <t xml:space="preserve">$2,000 to $25,000</t>
  </si>
  <si>
    <t xml:space="preserve">Two Amex cards can be approved the same day.</t>
  </si>
  <si>
    <t xml:space="preserve">Round 3</t>
  </si>
  <si>
    <t xml:space="preserve">Bank line of credit and regional cards.</t>
  </si>
  <si>
    <t xml:space="preserve">Wells Fargo BusinessLine (680); Quantum Lending (680); Truist or PNC business card inside their footprints</t>
  </si>
  <si>
    <t xml:space="preserve">Unsecured business line of credit, business card</t>
  </si>
  <si>
    <t xml:space="preserve">Wells Fargo: Experian. Truist: Equifax. PNC: Experian in most reports</t>
  </si>
  <si>
    <t xml:space="preserve">$10,000 to $150,000</t>
  </si>
  <si>
    <t xml:space="preserve">Prime-entry personal loans.</t>
  </si>
  <si>
    <t xml:space="preserve">SoFi; Discover (660); LightStream (660); Earnest (680); credit union personal lines</t>
  </si>
  <si>
    <t xml:space="preserve">Personal loan, personal line</t>
  </si>
  <si>
    <t xml:space="preserve">SoFi: Experian. LightStream: TransUnion. Discover: Experian</t>
  </si>
  <si>
    <t xml:space="preserve">$5,000 to $50,000</t>
  </si>
  <si>
    <t xml:space="preserve">Real estate investors</t>
  </si>
  <si>
    <t xml:space="preserve">Asset-based investor loans.</t>
  </si>
  <si>
    <t xml:space="preserve">Kiavi (660); RCN Capital (650); New Silver (650)</t>
  </si>
  <si>
    <t xml:space="preserve">Fix and flip, DSCR</t>
  </si>
  <si>
    <t xml:space="preserve">Varies by lender</t>
  </si>
  <si>
    <t xml:space="preserve">$75,000 to $5M</t>
  </si>
  <si>
    <t xml:space="preserve">No income verification; the deal and experience carry the file.</t>
  </si>
  <si>
    <t xml:space="preserve">Mainstream equipment lenders.</t>
  </si>
  <si>
    <t xml:space="preserve">National Funding (660); Triton (660); SMB Compass (680)</t>
  </si>
  <si>
    <t xml:space="preserve">Equipment loan</t>
  </si>
  <si>
    <t xml:space="preserve">$10,000 to $500,000</t>
  </si>
  <si>
    <t xml:space="preserve">Month 3-6</t>
  </si>
  <si>
    <t xml:space="preserve">Request limit increases, then cool off 60 to 90 days.</t>
  </si>
  <si>
    <t xml:space="preserve">Amex after day 61 (soft pull, up to 3x); Chase and others at about 6 months</t>
  </si>
  <si>
    <t xml:space="preserve">Limit increases</t>
  </si>
  <si>
    <t xml:space="preserve">Amex: soft. Chase: hard</t>
  </si>
  <si>
    <t xml:space="preserve">+50% to +200%</t>
  </si>
  <si>
    <t xml:space="preserve">Limit growth is cheaper than new accounts.</t>
  </si>
  <si>
    <t xml:space="preserve">700-749</t>
  </si>
  <si>
    <t xml:space="preserve">Open business checking at Chase and U.S. Bank 30 days ahead. Confirm 5/24 status.</t>
  </si>
  <si>
    <t xml:space="preserve">Setup</t>
  </si>
  <si>
    <t xml:space="preserve">U.S. Bank in particular favors existing customers.</t>
  </si>
  <si>
    <t xml:space="preserve">Round 1</t>
  </si>
  <si>
    <t xml:space="preserve">Chase Ink, one card, then a second 31+ days later.</t>
  </si>
  <si>
    <t xml:space="preserve">Ink Business Unlimited, Ink Business Cash</t>
  </si>
  <si>
    <t xml:space="preserve">0% intro APR business cards</t>
  </si>
  <si>
    <t xml:space="preserve">Experian most often</t>
  </si>
  <si>
    <t xml:space="preserve">$5,000 to $25,000 each</t>
  </si>
  <si>
    <t xml:space="preserve">One Chase business card per 30 days.</t>
  </si>
  <si>
    <t xml:space="preserve">Amex, two cards the same day.</t>
  </si>
  <si>
    <t xml:space="preserve">Blue Business Cash, Blue Business Plus</t>
  </si>
  <si>
    <t xml:space="preserve">Experian, often soft for existing customers</t>
  </si>
  <si>
    <t xml:space="preserve">Round 3, 7 to 14 days later</t>
  </si>
  <si>
    <t xml:space="preserve">U.S. Bank business cards.</t>
  </si>
  <si>
    <t xml:space="preserve">Triple Cash Rewards; Business Platinum (18 billing cycles) or Business Shield</t>
  </si>
  <si>
    <t xml:space="preserve">TransUnion most often (Experian reported in NY, CO, NV)</t>
  </si>
  <si>
    <t xml:space="preserve">$5,000 to $20,000 each</t>
  </si>
  <si>
    <t xml:space="preserve">Spreads the hit to a second bureau.</t>
  </si>
  <si>
    <t xml:space="preserve">Round 4, 14+ days later</t>
  </si>
  <si>
    <t xml:space="preserve">Wells Fargo business card and line.</t>
  </si>
  <si>
    <t xml:space="preserve">Signify Business Cash; BusinessLine line of credit</t>
  </si>
  <si>
    <t xml:space="preserve">Business card, unsecured line</t>
  </si>
  <si>
    <t xml:space="preserve">Experian; possible double pull if new to the bank</t>
  </si>
  <si>
    <t xml:space="preserve">$5,000 to $150,000</t>
  </si>
  <si>
    <t xml:space="preserve">Round 5, 14+ days later</t>
  </si>
  <si>
    <t xml:space="preserve">Bank of America business cards and unsecured line.</t>
  </si>
  <si>
    <t xml:space="preserve">Business Advantage cards (1 to 4 the same day); unsecured line or term loan (700, 2 years, $100,000 revenue)</t>
  </si>
  <si>
    <t xml:space="preserve">Business cards, line of credit</t>
  </si>
  <si>
    <t xml:space="preserve">Experian for personal, TransUnion often for business</t>
  </si>
  <si>
    <t xml:space="preserve">Intro 0% is now only 7 billing cycles, so this round comes late.</t>
  </si>
  <si>
    <t xml:space="preserve">Round 6, ongoing</t>
  </si>
  <si>
    <t xml:space="preserve">Regional and agent-issued cards inside your footprint.</t>
  </si>
  <si>
    <t xml:space="preserve">PNC, Truist, FNBO, M&amp;T, Citizens, First Citizens, Elan partner banks</t>
  </si>
  <si>
    <t xml:space="preserve">Business cards, small lines</t>
  </si>
  <si>
    <t xml:space="preserve">PNC, FNBO, M&amp;T: Experian. Truist, Citizens: Equifax. Elan: TransUnion</t>
  </si>
  <si>
    <t xml:space="preserve">$5,000 to $30,000 each</t>
  </si>
  <si>
    <t xml:space="preserve">Pick by which bureau has the fewest inquiries.</t>
  </si>
  <si>
    <t xml:space="preserve">Parallel, score independent</t>
  </si>
  <si>
    <t xml:space="preserve">Corporate cards that need cash, not credit.</t>
  </si>
  <si>
    <t xml:space="preserve">Ramp ($25,000 in the bank); Brex (about $50,000 cash or $1M revenue); BILL Divvy</t>
  </si>
  <si>
    <t xml:space="preserve">Corporate charge card</t>
  </si>
  <si>
    <t xml:space="preserve">No personal pull, no personal guarantee</t>
  </si>
  <si>
    <t xml:space="preserve">Based on balances</t>
  </si>
  <si>
    <t xml:space="preserve">Does not use any inquiry and does not count toward 5/24.</t>
  </si>
  <si>
    <t xml:space="preserve">Month 3-9</t>
  </si>
  <si>
    <t xml:space="preserve">Limit increases and a 30 to 90 day cooldown between rounds.</t>
  </si>
  <si>
    <t xml:space="preserve">Amex 3x at day 61, repeat every 91 days; others at about 6 months</t>
  </si>
  <si>
    <t xml:space="preserve">Amex soft; Chase hard</t>
  </si>
  <si>
    <t xml:space="preserve">Stack examples: $35,000 to $127,000 initial, $80,000 to $278,000 after increases</t>
  </si>
  <si>
    <t xml:space="preserve">Figures come from an advisory firm's illustrations, not guarantees.</t>
  </si>
  <si>
    <t xml:space="preserve">750-799</t>
  </si>
  <si>
    <t xml:space="preserve">Same setup as 700-749. Decide on a target stack size before the first application.</t>
  </si>
  <si>
    <t xml:space="preserve">At this tier approvals are likely; the limiters are income, revenue and total exposure per bank.</t>
  </si>
  <si>
    <t xml:space="preserve">Rounds 1-5</t>
  </si>
  <si>
    <t xml:space="preserve">Run the Chase, Amex, U.S. Bank, Wells Fargo, Bank of America order.</t>
  </si>
  <si>
    <t xml:space="preserve">As in 700-749, plus Ink Business Preferred and Amex Business Gold or Platinum</t>
  </si>
  <si>
    <t xml:space="preserve">0% business cards and charge cards</t>
  </si>
  <si>
    <t xml:space="preserve">As in 700-749</t>
  </si>
  <si>
    <t xml:space="preserve">$10,000 to $35,000+ per card</t>
  </si>
  <si>
    <t xml:space="preserve">Starting limits run meaningfully higher than at 700-749.</t>
  </si>
  <si>
    <t xml:space="preserve">After the core stack</t>
  </si>
  <si>
    <t xml:space="preserve">Citi and Barclays business cards.</t>
  </si>
  <si>
    <t xml:space="preserve">Citi business cards; Barclays co-brand business cards</t>
  </si>
  <si>
    <t xml:space="preserve">Business cards</t>
  </si>
  <si>
    <t xml:space="preserve">Citi: Experian or Equifax (business cards often Equifax). Barclays: TransUnion</t>
  </si>
  <si>
    <t xml:space="preserve">$5,000 to $25,000</t>
  </si>
  <si>
    <t xml:space="preserve">Citi dislikes more than about 6 inquiries in 6 months, so do it before the inquiries pile up or after they age.</t>
  </si>
  <si>
    <t xml:space="preserve">Bank capital</t>
  </si>
  <si>
    <t xml:space="preserve">Unsecured bank term loans and larger lines.</t>
  </si>
  <si>
    <t xml:space="preserve">Chase, Bank of America, U.S. Bank Cash Flow Manager (up to $250,000), PNC unsecured line (up to $100,000)</t>
  </si>
  <si>
    <t xml:space="preserve">Unsecured line of credit, term loan</t>
  </si>
  <si>
    <t xml:space="preserve">Bank's usual bureau</t>
  </si>
  <si>
    <t xml:space="preserve">$25,000 to $250,000</t>
  </si>
  <si>
    <t xml:space="preserve">Full or partial financials above about $100,000.</t>
  </si>
  <si>
    <t xml:space="preserve">SBA</t>
  </si>
  <si>
    <t xml:space="preserve">SBA Express, 7(a) and CAPLines.</t>
  </si>
  <si>
    <t xml:space="preserve">Huntington, Chase, Wells Fargo, U.S. Bank, Bank of America</t>
  </si>
  <si>
    <t xml:space="preserve">SBA-guaranteed loans and lines</t>
  </si>
  <si>
    <t xml:space="preserve">Lender's choice</t>
  </si>
  <si>
    <t xml:space="preserve">Up to $500,000 (Express) or $5M</t>
  </si>
  <si>
    <t xml:space="preserve">No SBA minimum score since March 1, 2026; lenders look for 1.1 debt service coverage.</t>
  </si>
  <si>
    <t xml:space="preserve">Personal capital</t>
  </si>
  <si>
    <t xml:space="preserve">Top-tier personal loans and credit union lines.</t>
  </si>
  <si>
    <t xml:space="preserve">LightStream and SoFi (up to $100,000); PenFed and Navy Federal personal lines; First Tech</t>
  </si>
  <si>
    <t xml:space="preserve">LightStream: TransUnion. SoFi: Experian. PenFed: Equifax. Navy Federal: TransUnion</t>
  </si>
  <si>
    <t xml:space="preserve">$25,000 to $100,000</t>
  </si>
  <si>
    <t xml:space="preserve">Best-priced investor leverage.</t>
  </si>
  <si>
    <t xml:space="preserve">RCN Capital 100% purchase option (720+); Lima One; Kiavi; DSCR lenders</t>
  </si>
  <si>
    <t xml:space="preserve">Up to $5M</t>
  </si>
  <si>
    <t xml:space="preserve">Last</t>
  </si>
  <si>
    <t xml:space="preserve">Capital One, if wanted.</t>
  </si>
  <si>
    <t xml:space="preserve">Spark Cash Plus or Venture X Business (the two that do not report to personal credit)</t>
  </si>
  <si>
    <t xml:space="preserve">Business charge card</t>
  </si>
  <si>
    <t xml:space="preserve">All three bureaus</t>
  </si>
  <si>
    <t xml:space="preserve">No preset limit</t>
  </si>
  <si>
    <t xml:space="preserve">Saved for last because it costs an inquiry on every report.</t>
  </si>
  <si>
    <t xml:space="preserve">800+</t>
  </si>
  <si>
    <t xml:space="preserve">Same foundation. Lead with the largest single facilities instead of many small cards.</t>
  </si>
  <si>
    <t xml:space="preserve">Above roughly 760 to 780 a higher score rarely changes the decision. Income, revenue, deposits and total exposure set the ceiling.</t>
  </si>
  <si>
    <t xml:space="preserve">Relationship bank line and term loan.</t>
  </si>
  <si>
    <t xml:space="preserve">Chase, Bank of America (Preferred Rewards for Business), Wells Fargo, U.S. Bank</t>
  </si>
  <si>
    <t xml:space="preserve">$50,000 to $250,000+</t>
  </si>
  <si>
    <t xml:space="preserve">Move deposits first; relationship pricing and limits follow balances.</t>
  </si>
  <si>
    <t xml:space="preserve">Round 1b</t>
  </si>
  <si>
    <t xml:space="preserve">SBA or conventional bank financing for larger needs.</t>
  </si>
  <si>
    <t xml:space="preserve">SBA 7(a) and 504 through a preferred lender</t>
  </si>
  <si>
    <t xml:space="preserve">Term loan</t>
  </si>
  <si>
    <t xml:space="preserve">Slowest but cheapest long-term capital.</t>
  </si>
  <si>
    <t xml:space="preserve">Rounds 2-6</t>
  </si>
  <si>
    <t xml:space="preserve">Run the full 0% business card stack at compressed spacing.</t>
  </si>
  <si>
    <t xml:space="preserve">Chase Ink, Amex Blue Business, U.S. Bank, Wells Fargo, Bank of America, regionals</t>
  </si>
  <si>
    <t xml:space="preserve">0% business cards</t>
  </si>
  <si>
    <t xml:space="preserve">Top-of-range limits</t>
  </si>
  <si>
    <t xml:space="preserve">Issuer velocity rules still apply regardless of score.</t>
  </si>
  <si>
    <t xml:space="preserve">Premium products</t>
  </si>
  <si>
    <t xml:space="preserve">Charge cards with no preset limit and high-limit personal products.</t>
  </si>
  <si>
    <t xml:space="preserve">Amex Business Platinum and Gold; Capital One Venture X Business; LightStream; private bank lines</t>
  </si>
  <si>
    <t xml:space="preserve">Charge card, personal loan, private banking line</t>
  </si>
  <si>
    <t xml:space="preserve">Amex: Experian. Capital One: all three</t>
  </si>
  <si>
    <t xml:space="preserve">$50,000 to $100,000+</t>
  </si>
  <si>
    <t xml:space="preserve">Asset-backed</t>
  </si>
  <si>
    <t xml:space="preserve">Use assets for the lowest cost of funds.</t>
  </si>
  <si>
    <t xml:space="preserve">HELOC, securities-backed line, DSCR and investor loans at maximum LTV</t>
  </si>
  <si>
    <t xml:space="preserve">Secured lines and loans</t>
  </si>
  <si>
    <t xml:space="preserve">Tri-merge for real estate</t>
  </si>
  <si>
    <t xml:space="preserve">Asset based</t>
  </si>
  <si>
    <t xml:space="preserve">Best pricing tier on every lender's rate sheet.</t>
  </si>
  <si>
    <t xml:space="preserve">Maintenance</t>
  </si>
  <si>
    <t xml:space="preserve">Protect the profile.</t>
  </si>
  <si>
    <t xml:space="preserve">Keep reported utilization under 5%, space rounds 30 to 90 days apart, and let inquiries age out before the next round.</t>
  </si>
  <si>
    <t xml:space="preserve">Sources for this tab: S24 (application order and stack illustrations, from an advisory firm), S26 (issuer velocity rules), S27 to S47 (lender minimums), S9 to S19 (bureau patterns). See the Sources tab for links.</t>
  </si>
  <si>
    <t xml:space="preserve">Used For</t>
  </si>
  <si>
    <t xml:space="preserve">Date</t>
  </si>
  <si>
    <t xml:space="preserve">S1</t>
  </si>
  <si>
    <t xml:space="preserve">Issuer level patterns</t>
  </si>
  <si>
    <t xml:space="preserve">Undated</t>
  </si>
  <si>
    <t xml:space="preserve">https://www.doctorofcredit.com/which-credit-bureau-does-each-card-issuer-pull/</t>
  </si>
  <si>
    <t xml:space="preserve">S2</t>
  </si>
  <si>
    <t xml:space="preserve">Chase by state, CreditBoards data 2008-2014</t>
  </si>
  <si>
    <t xml:space="preserve">Feb 2014</t>
  </si>
  <si>
    <t xml:space="preserve">S3</t>
  </si>
  <si>
    <t xml:space="preserve">Citi by state, 458 datapoints, 2014-2016</t>
  </si>
  <si>
    <t xml:space="preserve">Nov 2016</t>
  </si>
  <si>
    <t xml:space="preserve">S4</t>
  </si>
  <si>
    <t xml:space="preserve">Amex by state, 390 datapoints, 2014-2016</t>
  </si>
  <si>
    <t xml:space="preserve">S5</t>
  </si>
  <si>
    <t xml:space="preserve">BofA by state, 129 datapoints, 2014 onward</t>
  </si>
  <si>
    <t xml:space="preserve">Apr 2019</t>
  </si>
  <si>
    <t xml:space="preserve">S6</t>
  </si>
  <si>
    <t xml:space="preserve">Wells Fargo by state, 79 datapoints, 2014-2016</t>
  </si>
  <si>
    <t xml:space="preserve">S7</t>
  </si>
  <si>
    <t xml:space="preserve">U.S. Bank by state, 89 datapoints, 2014-2016</t>
  </si>
  <si>
    <t xml:space="preserve">S8</t>
  </si>
  <si>
    <t xml:space="preserve">BofA by state, 94 inquiries 2016-2017</t>
  </si>
  <si>
    <t xml:space="preserve">Apr 2025</t>
  </si>
  <si>
    <t xml:space="preserve">Member-reported pulls by state for 130+ banks and credit unions (grid images read directly)</t>
  </si>
  <si>
    <t xml:space="preserve">Jul 2023</t>
  </si>
  <si>
    <t xml:space="preserve">S10</t>
  </si>
  <si>
    <t xml:space="preserve">2026 U.S. Bank datapoints (GA, CA, NY)</t>
  </si>
  <si>
    <t xml:space="preserve">Jul 2026</t>
  </si>
  <si>
    <t xml:space="preserve">S11</t>
  </si>
  <si>
    <t xml:space="preserve">myFICO Forums: Which Credit Bureaus Do These Business Cards Pull From</t>
  </si>
  <si>
    <t xml:space="preserve">Business card pulls</t>
  </si>
  <si>
    <t xml:space="preserve">Feb 2025</t>
  </si>
  <si>
    <t xml:space="preserve">https://ficoforums.myfico.com/t5/Business-Credit/Which-Credit-Bureaus-Do-These-Business-Cards-Pull-From/td-p/6811049</t>
  </si>
  <si>
    <t xml:space="preserve">S12</t>
  </si>
  <si>
    <t xml:space="preserve">myFICO Forums: What Credit Bureaus are pulled for Business Credit</t>
  </si>
  <si>
    <t xml:space="preserve">Business card pulls (Citi, Truist, PNC, FNBO, Elan)</t>
  </si>
  <si>
    <t xml:space="preserve">Oct 2023</t>
  </si>
  <si>
    <t xml:space="preserve">https://ficoforums.myfico.com/t5/Business-Credit/What-Credit-Bureaus-are-pulled-for-Business-Credit/td-p/6715854</t>
  </si>
  <si>
    <t xml:space="preserve">S13</t>
  </si>
  <si>
    <t xml:space="preserve">myFICO Forums: Credit Cards that only use TransUnion</t>
  </si>
  <si>
    <t xml:space="preserve">TransUnion-leaning issuers</t>
  </si>
  <si>
    <t xml:space="preserve">Feb 2024</t>
  </si>
  <si>
    <t xml:space="preserve">https://ficoforums.myfico.com/t5/Credit-Card-Applications/Credit-Cards-that-only-use-TransUnion/td-p/6736282</t>
  </si>
  <si>
    <t xml:space="preserve">Credit union pulls</t>
  </si>
  <si>
    <t xml:space="preserve">Aug 2016</t>
  </si>
  <si>
    <t xml:space="preserve">https://ficoforums.myfico.com/t5/Credit-Cards/What-credit-unions-use-Transunion-for-credit-cards-PLOC-s/td-p/4713036</t>
  </si>
  <si>
    <t xml:space="preserve">S15</t>
  </si>
  <si>
    <t xml:space="preserve">Equifax-pulling credit unions</t>
  </si>
  <si>
    <t xml:space="preserve">Jan 2023</t>
  </si>
  <si>
    <t xml:space="preserve">https://ficoforums.myfico.com/t5/Credit-Cards/good-Credit-union-that-pull-equifax/td-p/6638312</t>
  </si>
  <si>
    <t xml:space="preserve">Personal loan lender bureaus</t>
  </si>
  <si>
    <t xml:space="preserve">Mar 2020</t>
  </si>
  <si>
    <t xml:space="preserve">https://ficoforums.myfico.com/t5/Personal-Finance/List-of-Personal-loan-lenders-with-PREAPPROVAL-links/td-p/5939849</t>
  </si>
  <si>
    <t xml:space="preserve">S17</t>
  </si>
  <si>
    <t xml:space="preserve">myFICO Forums: What credit bureaus does NavyFed pull from?</t>
  </si>
  <si>
    <t xml:space="preserve">Navy Federal pulls</t>
  </si>
  <si>
    <t xml:space="preserve">Feb 2023</t>
  </si>
  <si>
    <t xml:space="preserve">https://ficoforums.myfico.com/t5/General-Credit-Topics/What-credit-bureaus-does-NavyFed-pull-from/td-p/6648244</t>
  </si>
  <si>
    <t xml:space="preserve">S18</t>
  </si>
  <si>
    <t xml:space="preserve">Issuer patterns, frozen-bureau fallback behavior</t>
  </si>
  <si>
    <t xml:space="preserve">May 2026</t>
  </si>
  <si>
    <t xml:space="preserve">https://cardright.com/list-of-which-credit-report-each-bank-pulls/</t>
  </si>
  <si>
    <t xml:space="preserve">S19</t>
  </si>
  <si>
    <t xml:space="preserve">Financer: Credit Cards That Use TransUnion in 2026</t>
  </si>
  <si>
    <t xml:space="preserve">TransUnion issuers</t>
  </si>
  <si>
    <t xml:space="preserve">https://financer.com/cards/what-credit-cards-use-transunion/</t>
  </si>
  <si>
    <t xml:space="preserve">S20</t>
  </si>
  <si>
    <t xml:space="preserve">StackEasy: Credit Bureau Pulls by Issuer, 2026</t>
  </si>
  <si>
    <t xml:space="preserve">Issuer consistency ratings</t>
  </si>
  <si>
    <t xml:space="preserve">Aug 2026</t>
  </si>
  <si>
    <t xml:space="preserve">https://www.stackeasy.ai/blog/credit-bureau-pull-database-2026</t>
  </si>
  <si>
    <t xml:space="preserve">S21</t>
  </si>
  <si>
    <t xml:space="preserve">The Points Guy: Which credit report agencies banks use</t>
  </si>
  <si>
    <t xml:space="preserve">Issuer patterns</t>
  </si>
  <si>
    <t xml:space="preserve">https://thepointsguy.com/credit-cards/which-credit-report-agencies-banks-use-to-pull-your-credit-report-and-why-it-matters/</t>
  </si>
  <si>
    <t xml:space="preserve">S22</t>
  </si>
  <si>
    <t xml:space="preserve">The Credit People: Which Credit Bureau Does Each Bank Pull From? (internally inconsistent, low weight)</t>
  </si>
  <si>
    <t xml:space="preserve">Reviewed and discounted: contradicts itself</t>
  </si>
  <si>
    <t xml:space="preserve">Oct 2026</t>
  </si>
  <si>
    <t xml:space="preserve">https://www.thecreditpeople.com/bureaus/which-credit-bureau-does-each-bank-pull-from</t>
  </si>
  <si>
    <t xml:space="preserve">Which business cards report to personal bureaus</t>
  </si>
  <si>
    <t xml:space="preserve">Mar 2025</t>
  </si>
  <si>
    <t xml:space="preserve">https://doctorofcredit.com/which-business-credit-cards-report/</t>
  </si>
  <si>
    <t xml:space="preserve">Application order, issuer score targets (advisory firm, not independent)</t>
  </si>
  <si>
    <t xml:space="preserve">Mar 2026</t>
  </si>
  <si>
    <t xml:space="preserve">https://www.stacking.capital/articles/0-percent-interest-business-funding-complete-guide</t>
  </si>
  <si>
    <t xml:space="preserve">S25</t>
  </si>
  <si>
    <t xml:space="preserve">Stacking Capital: Agent-Issuer Guide (Elan, TIB, TCM, FNBO)</t>
  </si>
  <si>
    <t xml:space="preserve">Agent issuers and bureaus</t>
  </si>
  <si>
    <t xml:space="preserve">https://www.stacking.capital/articles/credit-card-agent-issuers-complete-guide</t>
  </si>
  <si>
    <t xml:space="preserve">S26</t>
  </si>
  <si>
    <t xml:space="preserve">Frequent Miler: Complete Guide to Credit Card Application Rules by Bank</t>
  </si>
  <si>
    <t xml:space="preserve">Velocity rules per issuer</t>
  </si>
  <si>
    <t xml:space="preserve">Feb 2026</t>
  </si>
  <si>
    <t xml:space="preserve">https://frequentmiler.com/complete-guide-to-credit-card-application-rules-by-bank</t>
  </si>
  <si>
    <t xml:space="preserve">Low-doc lenders and requirements</t>
  </si>
  <si>
    <t xml:space="preserve">https://www.lendingtree.com/business/no-doc-loans/</t>
  </si>
  <si>
    <t xml:space="preserve">LOC minimum scores</t>
  </si>
  <si>
    <t xml:space="preserve">https://www.nerdwallet.com/best/small-business/business-line-of-credit</t>
  </si>
  <si>
    <t xml:space="preserve">Startup LOCs</t>
  </si>
  <si>
    <t xml:space="preserve">https://www.nerdwallet.com/article/small-business/startup-business-line-of-credit</t>
  </si>
  <si>
    <t xml:space="preserve">Personal loan minimum scores</t>
  </si>
  <si>
    <t xml:space="preserve">https://www.nerdwallet.com/best/loans/personal-loans/best-personal-loans-2</t>
  </si>
  <si>
    <t xml:space="preserve">https://financer.com/loans/what-credit-score-is-needed-for-a-personal-loan/</t>
  </si>
  <si>
    <t xml:space="preserve">Subprime lenders</t>
  </si>
  <si>
    <t xml:space="preserve">Jun 2026</t>
  </si>
  <si>
    <t xml:space="preserve">https://www.finder.com/personal-loans/best-bad-credit-personal-loans</t>
  </si>
  <si>
    <t xml:space="preserve">Corporate cards without personal pull</t>
  </si>
  <si>
    <t xml:space="preserve">https://www.nerdwallet.com/business/credit-cards/best/no-credit-check</t>
  </si>
  <si>
    <t xml:space="preserve">S34</t>
  </si>
  <si>
    <t xml:space="preserve">Ramp: Brex credit card requirements</t>
  </si>
  <si>
    <t xml:space="preserve">Brex and Ramp eligibility</t>
  </si>
  <si>
    <t xml:space="preserve">https://ramp.com/blog/brex-business-credit-card-requirements</t>
  </si>
  <si>
    <t xml:space="preserve">Net-30 vendors and bureaus reported</t>
  </si>
  <si>
    <t xml:space="preserve">https://startupsavant.com/net-30-vendors</t>
  </si>
  <si>
    <t xml:space="preserve">Microlenders and CDFIs</t>
  </si>
  <si>
    <t xml:space="preserve">https://www.lendingtree.com/business/microloans</t>
  </si>
  <si>
    <t xml:space="preserve">S37</t>
  </si>
  <si>
    <t xml:space="preserve">DSCR lenders</t>
  </si>
  <si>
    <t xml:space="preserve">https://newsilver.com/dscr-loan/best-dscr-lenders/</t>
  </si>
  <si>
    <t xml:space="preserve">Fix and flip lenders</t>
  </si>
  <si>
    <t xml:space="preserve">https://theclose.com/best-fix-and-flip-loans</t>
  </si>
  <si>
    <t xml:space="preserve">Equipment lenders</t>
  </si>
  <si>
    <t xml:space="preserve">Sep 2026</t>
  </si>
  <si>
    <t xml:space="preserve">https://www.bankrate.com/loans/small-business/best-equipment-business-loans</t>
  </si>
  <si>
    <t xml:space="preserve">S40</t>
  </si>
  <si>
    <t xml:space="preserve">Bad credit business lenders</t>
  </si>
  <si>
    <t xml:space="preserve">https://www.nerdwallet.com/business/loans/best/bad-credit</t>
  </si>
  <si>
    <t xml:space="preserve">MCA minimum scores</t>
  </si>
  <si>
    <t xml:space="preserve">Jan 2026</t>
  </si>
  <si>
    <t xml:space="preserve">https://nerdwallet.com/business/loans/best/merchant-cash-advance-companies</t>
  </si>
  <si>
    <t xml:space="preserve">Secured and builder cards</t>
  </si>
  <si>
    <t xml:space="preserve">https://www.nerdwallet.com/credit-cards/best/building-credit</t>
  </si>
  <si>
    <t xml:space="preserve">S43</t>
  </si>
  <si>
    <t xml:space="preserve">SBA underwriting change effective Mar 1, 2026</t>
  </si>
  <si>
    <t xml:space="preserve">https://www.naggl.org/sba-notice-formally-announcing-sunsetting-of-sbss-scoring-and-providing-new-underwriting-requirements-for-7a-small-loans/</t>
  </si>
  <si>
    <t xml:space="preserve">S44</t>
  </si>
  <si>
    <t xml:space="preserve">NerdWallet: Best Banks for Small-Business Loans</t>
  </si>
  <si>
    <t xml:space="preserve">Bank loan and LOC requirements</t>
  </si>
  <si>
    <t xml:space="preserve">https://www.nerdwallet.com/business/loans/learn/best-banks-small-business-loans</t>
  </si>
  <si>
    <t xml:space="preserve">Amex LOC requirements</t>
  </si>
  <si>
    <t xml:space="preserve">https://www.bankrate.com/loans/small-business/reviews/american-express-business-blueprint</t>
  </si>
  <si>
    <t xml:space="preserve">Factoring companies</t>
  </si>
  <si>
    <t xml:space="preserve">https://www.lendingtree.com/business/invoice-factoring/</t>
  </si>
  <si>
    <t xml:space="preserve">Subprime auto minimums</t>
  </si>
  <si>
    <t xml:space="preserve">Apr 2026</t>
  </si>
  <si>
    <t xml:space="preserve">https://www.crediful.com/auto-loans-for-bad-credit/</t>
  </si>
  <si>
    <t xml:space="preserve">S48</t>
  </si>
  <si>
    <t xml:space="preserve">Auto lender bureau practice</t>
  </si>
  <si>
    <t xml:space="preserve">Jun 2025</t>
  </si>
  <si>
    <t xml:space="preserve">https://www.sofi.com/learn/content/which-credit-score-is-used/</t>
  </si>
  <si>
    <t xml:space="preserve">Mortgage scoring; tri-merge still required</t>
  </si>
  <si>
    <t xml:space="preserve">https://nationalmortgageprofessional.com/news/fhfa-opens-vantagescore-all-gse-lenders-eyes-credit-report-overhaul</t>
  </si>
  <si>
    <t xml:space="preserve">S50</t>
  </si>
  <si>
    <t xml:space="preserve">Goldman Sachs: Agreement to transition Apple Card program to Chase</t>
  </si>
  <si>
    <t xml:space="preserve">Apple Card issuer change</t>
  </si>
  <si>
    <t xml:space="preserve">https://www.goldmansachs.com/pressroom/press-releases/2026/goldman-sachs-announces-agreement-to-transition-apple-card-program-to-chase</t>
  </si>
  <si>
    <t xml:space="preserve">S51</t>
  </si>
  <si>
    <t xml:space="preserve">Capital One: Capital One completes acquisition of Brex</t>
  </si>
  <si>
    <t xml:space="preserve">Brex ownership</t>
  </si>
  <si>
    <t xml:space="preserve">https://www.capitalone.com/about/newsroom/capital-one-completes-acquisition-of-brex/</t>
  </si>
  <si>
    <t xml:space="preserve">S52</t>
  </si>
  <si>
    <t xml:space="preserve">BusinessWire: Capital One Completes Acquisition of Discover</t>
  </si>
  <si>
    <t xml:space="preserve">Discover ownership</t>
  </si>
  <si>
    <t xml:space="preserve">May 2025</t>
  </si>
  <si>
    <t xml:space="preserve">https://www.businesswire.com/news/home/20250517147002/en/Capital-One-Completes-Acquisition-of-Discover</t>
  </si>
  <si>
    <t xml:space="preserve">S53</t>
  </si>
  <si>
    <t xml:space="preserve">American Banker: LendingClub rebrands as Happen Bank</t>
  </si>
  <si>
    <t xml:space="preserve">LendingClub rename</t>
  </si>
  <si>
    <t xml:space="preserve">https://www.americanbanker.com/news/goodbye-lendingclub-digital-bank-rebrands-as-happen-bank</t>
  </si>
  <si>
    <t xml:space="preserve">S54</t>
  </si>
  <si>
    <t xml:space="preserve">Wikipedia: BBVA USA (acquired by PNC, 2021)</t>
  </si>
  <si>
    <t xml:space="preserve">BBVA status</t>
  </si>
  <si>
    <t xml:space="preserve">https://en.wikipedia.org/wiki/BBVA_USA</t>
  </si>
  <si>
    <t xml:space="preserve">Observed inquiries by state</t>
  </si>
  <si>
    <t xml:space="preserve">Flagged wherever used</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</si>
</sst>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sz val="10"/>
      <name val="Arial"/>
      <family val="0"/>
      <charset val="1"/>
    </font>
    <font>
      <b val="true"/>
      <sz val="10"/>
      <color rgb="FFFFFFFF"/>
      <name val="Arial"/>
      <family val="0"/>
      <charset val="1"/>
    </font>
    <font>
      <b val="true"/>
      <sz val="10"/>
      <name val="Arial"/>
      <family val="0"/>
      <charset val="1"/>
    </font>
    <font>
      <b val="true"/>
      <sz val="11"/>
      <color rgb="FF1F3A5F"/>
      <name val="Arial"/>
      <family val="0"/>
      <charset val="1"/>
    </font>
    <font>
      <u val="single"/>
      <sz val="10"/>
      <color rgb="FF0563C1"/>
      <name val="Arial"/>
      <family val="0"/>
      <charset val="1"/>
    </font>
    <font>
      <i val="true"/>
      <sz val="9"/>
      <name val="Arial"/>
      <family val="0"/>
      <charset val="1"/>
    </font>
    <font>
      <b val="true"/>
      <sz val="14"/>
      <color rgb="FF1F3A5F"/>
      <name val="Arial"/>
      <family val="0"/>
      <charset val="1"/>
    </font>
  </fonts>
  <fills count="11">
    <fill>
      <patternFill patternType="none"/>
    </fill>
    <fill>
      <patternFill patternType="gray125"/>
    </fill>
    <fill>
      <patternFill patternType="solid">
        <fgColor rgb="FF1F3A5F"/>
        <bgColor rgb="FF333333"/>
      </patternFill>
    </fill>
    <fill>
      <patternFill patternType="solid">
        <fgColor rgb="FFDCE6F1"/>
        <bgColor rgb="FFD9E1F2"/>
      </patternFill>
    </fill>
    <fill>
      <patternFill patternType="solid">
        <fgColor rgb="FFFFF2CC"/>
        <bgColor rgb="FFFDE9D9"/>
      </patternFill>
    </fill>
    <fill>
      <patternFill patternType="solid">
        <fgColor rgb="FFD9EAD3"/>
        <bgColor rgb="FFE2F0D9"/>
      </patternFill>
    </fill>
    <fill>
      <patternFill patternType="solid">
        <fgColor rgb="FFE2F0D9"/>
        <bgColor rgb="FFEAF1DD"/>
      </patternFill>
    </fill>
    <fill>
      <patternFill patternType="solid">
        <fgColor rgb="FFFCE4D6"/>
        <bgColor rgb="FFFDE9D9"/>
      </patternFill>
    </fill>
    <fill>
      <patternFill patternType="solid">
        <fgColor rgb="FFFDE9D9"/>
        <bgColor rgb="FFFCE4D6"/>
      </patternFill>
    </fill>
    <fill>
      <patternFill patternType="solid">
        <fgColor rgb="FFEAF1DD"/>
        <bgColor rgb="FFE2F0D9"/>
      </patternFill>
    </fill>
    <fill>
      <patternFill patternType="solid">
        <fgColor rgb="FFD9E1F2"/>
        <bgColor rgb="FFDCE6F1"/>
      </patternFill>
    </fill>
  </fills>
  <borders count="2">
    <border diagonalUp="false" diagonalDown="false">
      <left/>
      <right/>
      <top/>
      <bottom/>
      <diagonal/>
    </border>
    <border diagonalUp="false" diagonalDown="false">
      <left style="thin">
        <color rgb="FFC9D1DB"/>
      </left>
      <right style="thin">
        <color rgb="FFC9D1DB"/>
      </right>
      <top style="thin">
        <color rgb="FFC9D1DB"/>
      </top>
      <bottom style="thin">
        <color rgb="FFC9D1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5F"/>
          <bgColor rgb="FF000000"/>
        </patternFill>
      </fill>
    </dxf>
    <dxf>
      <fill>
        <patternFill patternType="solid">
          <fgColor rgb="FFDCE6F1"/>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FF2CC"/>
          <bgColor rgb="FF000000"/>
        </patternFill>
      </fill>
    </dxf>
    <dxf>
      <fill>
        <patternFill patternType="solid">
          <fgColor rgb="FF0563C1"/>
          <bgColor rgb="FF000000"/>
        </patternFill>
      </fill>
    </dxf>
    <dxf>
      <fill>
        <patternFill patternType="solid">
          <fgColor rgb="FFE2F0D9"/>
          <bgColor rgb="FF000000"/>
        </patternFill>
      </fill>
    </dxf>
    <dxf>
      <fill>
        <patternFill patternType="solid">
          <fgColor rgb="FFD9E1F2"/>
          <bgColor rgb="FF000000"/>
        </patternFill>
      </fill>
    </dxf>
    <dxf>
      <fill>
        <patternFill patternType="solid">
          <fgColor rgb="FFEAF1DD"/>
          <bgColor rgb="FF000000"/>
        </patternFill>
      </fill>
    </dxf>
    <dxf>
      <fill>
        <patternFill patternType="solid">
          <fgColor rgb="FFFCE4D6"/>
          <bgColor rgb="FF000000"/>
        </patternFill>
      </fill>
    </dxf>
    <dxf>
      <fill>
        <patternFill patternType="solid">
          <fgColor rgb="FFFDE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08080"/>
      <rgbColor rgb="FF9999FF"/>
      <rgbColor rgb="FF993366"/>
      <rgbColor rgb="FFFFF2CC"/>
      <rgbColor rgb="FFDCE6F1"/>
      <rgbColor rgb="FF660066"/>
      <rgbColor rgb="FFFF8080"/>
      <rgbColor rgb="FF0563C1"/>
      <rgbColor rgb="FFC9D1DB"/>
      <rgbColor rgb="FF000080"/>
      <rgbColor rgb="FFFF00FF"/>
      <rgbColor rgb="FFFFFF00"/>
      <rgbColor rgb="FF00FFFF"/>
      <rgbColor rgb="FF800080"/>
      <rgbColor rgb="FF800000"/>
      <rgbColor rgb="FF008080"/>
      <rgbColor rgb="FF0000FF"/>
      <rgbColor rgb="FF00CCFF"/>
      <rgbColor rgb="FFEAF1DD"/>
      <rgbColor rgb="FFE2F0D9"/>
      <rgbColor rgb="FFFDE9D9"/>
      <rgbColor rgb="FFD9EAD3"/>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doctorofcredit.com/which-credit-bureau-does-each-card-issuer-pull/" TargetMode="External"/><Relationship Id="rId2" Type="http://schemas.openxmlformats.org/officeDocument/2006/relationships/hyperlink" Target="https://www.doctorofcredit.com/credit-bureau-american-express-pull" TargetMode="External"/><Relationship Id="rId3" Type="http://schemas.openxmlformats.org/officeDocument/2006/relationships/hyperlink" Target="https://www.doctorofcredit.com/credit-bureau-citibank-pull/" TargetMode="External"/><Relationship Id="rId4" Type="http://schemas.openxmlformats.org/officeDocument/2006/relationships/hyperlink" Target="https://www.doctorofcredit.com/credit-bureau-bank-america-pull/" TargetMode="External"/><Relationship Id="rId5" Type="http://schemas.openxmlformats.org/officeDocument/2006/relationships/hyperlink" Target="https://www.doctorofcredit.com/which-credit-bureau-does-each-card-issuer-pull/" TargetMode="External"/><Relationship Id="rId6" Type="http://schemas.openxmlformats.org/officeDocument/2006/relationships/hyperlink" Target="https://ficoforums.myfico.com/t5/General-Credit-Topics/Which-Report-Will-They-Pull-Part-2/td-p/6379773" TargetMode="External"/><Relationship Id="rId7" Type="http://schemas.openxmlformats.org/officeDocument/2006/relationships/hyperlink" Target="https://www.doctorofcredit.com/credit-bureau-u-s-bank-pull" TargetMode="External"/><Relationship Id="rId8" Type="http://schemas.openxmlformats.org/officeDocument/2006/relationships/hyperlink" Target="https://www.doctorofcredit.com/credit-bureau-wells-fargo-pull" TargetMode="External"/><Relationship Id="rId9" Type="http://schemas.openxmlformats.org/officeDocument/2006/relationships/hyperlink" Target="https://www.doctorofcredit.com/credit-bureau-wells-fargo-pull" TargetMode="External"/><Relationship Id="rId10" Type="http://schemas.openxmlformats.org/officeDocument/2006/relationships/hyperlink" Target="https://www.doctorofcredit.com/which-credit-bureau-does-each-card-issuer-pull/" TargetMode="External"/><Relationship Id="rId11" Type="http://schemas.openxmlformats.org/officeDocument/2006/relationships/hyperlink" Target="https://ficoforums.myfico.com/t5/General-Credit-Topics/Which-Report-Will-They-Pull-Part-2/td-p/6379773" TargetMode="External"/><Relationship Id="rId12" Type="http://schemas.openxmlformats.org/officeDocument/2006/relationships/hyperlink" Target="https://ficoforums.myfico.com/t5/General-Credit-Topics/Which-Report-Will-They-Pull-Part-2/td-p/6379773" TargetMode="External"/><Relationship Id="rId13" Type="http://schemas.openxmlformats.org/officeDocument/2006/relationships/hyperlink" Target="https://ficoforums.myfico.com/t5/General-Credit-Topics/Which-Report-Will-They-Pull-Part-2/td-p/6379773" TargetMode="External"/><Relationship Id="rId14" Type="http://schemas.openxmlformats.org/officeDocument/2006/relationships/hyperlink" Target="https://ficoforums.myfico.com/t5/General-Credit-Topics/Which-Report-Will-They-Pull-Part-2/td-p/6379773" TargetMode="External"/><Relationship Id="rId15" Type="http://schemas.openxmlformats.org/officeDocument/2006/relationships/hyperlink" Target="https://ficoforums.myfico.com/t5/General-Credit-Topics/Which-Report-Will-They-Pull-Part-2/td-p/6379773" TargetMode="External"/><Relationship Id="rId16" Type="http://schemas.openxmlformats.org/officeDocument/2006/relationships/hyperlink" Target="https://ficoforums.myfico.com/t5/General-Credit-Topics/Which-Report-Will-They-Pull-Part-2/td-p/6379773" TargetMode="External"/><Relationship Id="rId17" Type="http://schemas.openxmlformats.org/officeDocument/2006/relationships/hyperlink" Target="https://ficoforums.myfico.com/t5/General-Credit-Topics/Which-Report-Will-They-Pull-Part-2/td-p/6379773" TargetMode="External"/><Relationship Id="rId18" Type="http://schemas.openxmlformats.org/officeDocument/2006/relationships/hyperlink" Target="https://ficoforums.myfico.com/t5/General-Credit-Topics/Which-Report-Will-They-Pull-Part-2/td-p/6379773" TargetMode="External"/><Relationship Id="rId19" Type="http://schemas.openxmlformats.org/officeDocument/2006/relationships/hyperlink" Target="https://cardright.com/list-of-which-credit-report-each-bank-pulls/" TargetMode="External"/><Relationship Id="rId20" Type="http://schemas.openxmlformats.org/officeDocument/2006/relationships/hyperlink" Target="https://ficoforums.myfico.com/t5/General-Credit-Topics/Which-Report-Will-They-Pull-Part-2/td-p/6379773" TargetMode="External"/><Relationship Id="rId21" Type="http://schemas.openxmlformats.org/officeDocument/2006/relationships/hyperlink" Target="https://ficoforums.myfico.com/t5/General-Credit-Topics/Which-Report-Will-They-Pull-Part-2/td-p/6379773" TargetMode="External"/><Relationship Id="rId22" Type="http://schemas.openxmlformats.org/officeDocument/2006/relationships/hyperlink" Target="https://ficoforums.myfico.com/t5/General-Credit-Topics/Which-Report-Will-They-Pull-Part-2/td-p/6379773" TargetMode="External"/><Relationship Id="rId23" Type="http://schemas.openxmlformats.org/officeDocument/2006/relationships/hyperlink" Target="https://ficoforums.myfico.com/t5/General-Credit-Topics/Which-Report-Will-They-Pull-Part-2/td-p/6379773" TargetMode="External"/><Relationship Id="rId24" Type="http://schemas.openxmlformats.org/officeDocument/2006/relationships/hyperlink" Target="https://ficoforums.myfico.com/t5/General-Credit-Topics/Which-Report-Will-They-Pull-Part-2/td-p/6379773" TargetMode="External"/><Relationship Id="rId25" Type="http://schemas.openxmlformats.org/officeDocument/2006/relationships/hyperlink" Target="https://ficoforums.myfico.com/t5/General-Credit-Topics/Which-Report-Will-They-Pull-Part-2/td-p/6379773" TargetMode="External"/><Relationship Id="rId26" Type="http://schemas.openxmlformats.org/officeDocument/2006/relationships/hyperlink" Target="https://ficoforums.myfico.com/t5/General-Credit-Topics/Which-Report-Will-They-Pull-Part-2/td-p/6379773" TargetMode="External"/><Relationship Id="rId27" Type="http://schemas.openxmlformats.org/officeDocument/2006/relationships/hyperlink" Target="https://ficoforums.myfico.com/t5/General-Credit-Topics/Which-Report-Will-They-Pull-Part-2/td-p/6379773" TargetMode="External"/><Relationship Id="rId28" Type="http://schemas.openxmlformats.org/officeDocument/2006/relationships/hyperlink" Target="https://www.stacking.capital/articles/0-percent-interest-business-funding-complete-guide" TargetMode="External"/><Relationship Id="rId29" Type="http://schemas.openxmlformats.org/officeDocument/2006/relationships/hyperlink" Target="https://ficoforums.myfico.com/t5/General-Credit-Topics/Which-Report-Will-They-Pull-Part-2/td-p/6379773" TargetMode="External"/><Relationship Id="rId30" Type="http://schemas.openxmlformats.org/officeDocument/2006/relationships/hyperlink" Target="https://ficoforums.myfico.com/t5/General-Credit-Topics/Which-Report-Will-They-Pull-Part-2/td-p/6379773" TargetMode="External"/><Relationship Id="rId31" Type="http://schemas.openxmlformats.org/officeDocument/2006/relationships/hyperlink" Target="https://ficoforums.myfico.com/t5/General-Credit-Topics/Which-Report-Will-They-Pull-Part-2/td-p/6379773" TargetMode="External"/><Relationship Id="rId32" Type="http://schemas.openxmlformats.org/officeDocument/2006/relationships/hyperlink" Target="https://ficoforums.myfico.com/t5/General-Credit-Topics/Which-Report-Will-They-Pull-Part-2/td-p/6379773" TargetMode="External"/><Relationship Id="rId33" Type="http://schemas.openxmlformats.org/officeDocument/2006/relationships/hyperlink" Target="https://ficoforums.myfico.com/t5/General-Credit-Topics/Which-Report-Will-They-Pull-Part-2/td-p/6379773" TargetMode="External"/><Relationship Id="rId34" Type="http://schemas.openxmlformats.org/officeDocument/2006/relationships/hyperlink" Target="https://ficoforums.myfico.com/t5/General-Credit-Topics/Which-Report-Will-They-Pull-Part-2/td-p/6379773" TargetMode="External"/><Relationship Id="rId35" Type="http://schemas.openxmlformats.org/officeDocument/2006/relationships/hyperlink" Target="https://ficoforums.myfico.com/t5/General-Credit-Topics/Which-Report-Will-They-Pull-Part-2/td-p/6379773" TargetMode="External"/><Relationship Id="rId36" Type="http://schemas.openxmlformats.org/officeDocument/2006/relationships/hyperlink" Target="https://ficoforums.myfico.com/t5/General-Credit-Topics/Which-Report-Will-They-Pull-Part-2/td-p/6379773" TargetMode="External"/><Relationship Id="rId37" Type="http://schemas.openxmlformats.org/officeDocument/2006/relationships/hyperlink" Target="https://ficoforums.myfico.com/t5/General-Credit-Topics/Which-Report-Will-They-Pull-Part-2/td-p/6379773" TargetMode="External"/><Relationship Id="rId38" Type="http://schemas.openxmlformats.org/officeDocument/2006/relationships/hyperlink" Target="https://ficoforums.myfico.com/t5/Credit-Cards/good-Credit-union-that-pull-equifax/td-p/6638312" TargetMode="External"/><Relationship Id="rId39" Type="http://schemas.openxmlformats.org/officeDocument/2006/relationships/hyperlink" Target="https://ficoforums.myfico.com/t5/General-Credit-Topics/Which-Report-Will-They-Pull-Part-2/td-p/6379773" TargetMode="External"/><Relationship Id="rId40" Type="http://schemas.openxmlformats.org/officeDocument/2006/relationships/hyperlink" Target="https://ficoforums.myfico.com/t5/General-Credit-Topics/Which-Report-Will-They-Pull-Part-2/td-p/6379773" TargetMode="External"/><Relationship Id="rId41" Type="http://schemas.openxmlformats.org/officeDocument/2006/relationships/hyperlink" Target="https://ficoforums.myfico.com/t5/General-Credit-Topics/Which-Report-Will-They-Pull-Part-2/td-p/6379773" TargetMode="External"/><Relationship Id="rId42" Type="http://schemas.openxmlformats.org/officeDocument/2006/relationships/hyperlink" Target="https://ficoforums.myfico.com/t5/General-Credit-Topics/Which-Report-Will-They-Pull-Part-2/td-p/6379773" TargetMode="External"/><Relationship Id="rId43" Type="http://schemas.openxmlformats.org/officeDocument/2006/relationships/hyperlink" Target="https://ficoforums.myfico.com/t5/General-Credit-Topics/Which-Report-Will-They-Pull-Part-2/td-p/6379773" TargetMode="External"/><Relationship Id="rId44" Type="http://schemas.openxmlformats.org/officeDocument/2006/relationships/hyperlink" Target="https://ficoforums.myfico.com/t5/General-Credit-Topics/Which-Report-Will-They-Pull-Part-2/td-p/6379773" TargetMode="External"/><Relationship Id="rId45" Type="http://schemas.openxmlformats.org/officeDocument/2006/relationships/hyperlink" Target="https://ficoforums.myfico.com/t5/General-Credit-Topics/Which-Report-Will-They-Pull-Part-2/td-p/6379773" TargetMode="External"/><Relationship Id="rId46" Type="http://schemas.openxmlformats.org/officeDocument/2006/relationships/hyperlink" Target="https://ficoforums.myfico.com/t5/General-Credit-Topics/Which-Report-Will-They-Pull-Part-2/td-p/6379773" TargetMode="External"/><Relationship Id="rId47" Type="http://schemas.openxmlformats.org/officeDocument/2006/relationships/hyperlink" Target="https://ficoforums.myfico.com/t5/Credit-Cards/What-credit-unions-use-Transunion-for-credit-cards-PLOC-s/td-p/4713036" TargetMode="External"/><Relationship Id="rId48" Type="http://schemas.openxmlformats.org/officeDocument/2006/relationships/hyperlink" Target="https://ficoforums.myfico.com/t5/General-Credit-Topics/Which-Report-Will-They-Pull-Part-2/td-p/6379773" TargetMode="External"/><Relationship Id="rId49" Type="http://schemas.openxmlformats.org/officeDocument/2006/relationships/hyperlink" Target="https://ficoforums.myfico.com/t5/General-Credit-Topics/Which-Report-Will-They-Pull-Part-2/td-p/6379773" TargetMode="External"/><Relationship Id="rId50" Type="http://schemas.openxmlformats.org/officeDocument/2006/relationships/hyperlink" Target="https://ficoforums.myfico.com/t5/General-Credit-Topics/Which-Report-Will-They-Pull-Part-2/td-p/6379773" TargetMode="External"/><Relationship Id="rId51" Type="http://schemas.openxmlformats.org/officeDocument/2006/relationships/hyperlink" Target="https://ficoforums.myfico.com/t5/General-Credit-Topics/Which-Report-Will-They-Pull-Part-2/td-p/6379773" TargetMode="External"/><Relationship Id="rId52" Type="http://schemas.openxmlformats.org/officeDocument/2006/relationships/hyperlink" Target="https://ficoforums.myfico.com/t5/General-Credit-Topics/Which-Report-Will-They-Pull-Part-2/td-p/6379773" TargetMode="External"/><Relationship Id="rId53" Type="http://schemas.openxmlformats.org/officeDocument/2006/relationships/hyperlink" Target="https://ficoforums.myfico.com/t5/General-Credit-Topics/Which-Report-Will-They-Pull-Part-2/td-p/6379773" TargetMode="External"/><Relationship Id="rId54" Type="http://schemas.openxmlformats.org/officeDocument/2006/relationships/hyperlink" Target="https://ficoforums.myfico.com/t5/General-Credit-Topics/Which-Report-Will-They-Pull-Part-2/td-p/6379773" TargetMode="External"/><Relationship Id="rId55" Type="http://schemas.openxmlformats.org/officeDocument/2006/relationships/hyperlink" Target="https://ficoforums.myfico.com/t5/General-Credit-Topics/Which-Report-Will-They-Pull-Part-2/td-p/6379773" TargetMode="External"/><Relationship Id="rId56" Type="http://schemas.openxmlformats.org/officeDocument/2006/relationships/hyperlink" Target="https://ficoforums.myfico.com/t5/General-Credit-Topics/Which-Report-Will-They-Pull-Part-2/td-p/6379773" TargetMode="External"/><Relationship Id="rId57" Type="http://schemas.openxmlformats.org/officeDocument/2006/relationships/hyperlink" Target="https://ficoforums.myfico.com/t5/General-Credit-Topics/Which-Report-Will-They-Pull-Part-2/td-p/6379773" TargetMode="External"/><Relationship Id="rId58" Type="http://schemas.openxmlformats.org/officeDocument/2006/relationships/hyperlink" Target="https://ficoforums.myfico.com/t5/General-Credit-Topics/Which-Report-Will-They-Pull-Part-2/td-p/6379773" TargetMode="External"/><Relationship Id="rId59" Type="http://schemas.openxmlformats.org/officeDocument/2006/relationships/hyperlink" Target="https://ficoforums.myfico.com/t5/General-Credit-Topics/Which-Report-Will-They-Pull-Part-2/td-p/6379773" TargetMode="External"/><Relationship Id="rId60" Type="http://schemas.openxmlformats.org/officeDocument/2006/relationships/hyperlink" Target="https://ficoforums.myfico.com/t5/General-Credit-Topics/Which-Report-Will-They-Pull-Part-2/td-p/6379773" TargetMode="External"/><Relationship Id="rId61" Type="http://schemas.openxmlformats.org/officeDocument/2006/relationships/hyperlink" Target="https://ficoforums.myfico.com/t5/General-Credit-Topics/Which-Report-Will-They-Pull-Part-2/td-p/6379773" TargetMode="External"/><Relationship Id="rId62" Type="http://schemas.openxmlformats.org/officeDocument/2006/relationships/hyperlink" Target="https://www.nerdwallet.com/credit-cards/best/building-credit" TargetMode="External"/><Relationship Id="rId63" Type="http://schemas.openxmlformats.org/officeDocument/2006/relationships/hyperlink" Target="https://www.nerdwallet.com/credit-cards/best/building-credit" TargetMode="External"/><Relationship Id="rId64" Type="http://schemas.openxmlformats.org/officeDocument/2006/relationships/hyperlink" Target="https://www.nerdwallet.com/credit-cards/best/building-credit" TargetMode="External"/><Relationship Id="rId65" Type="http://schemas.openxmlformats.org/officeDocument/2006/relationships/hyperlink" Target="https://www.nerdwallet.com/credit-cards/best/building-credit" TargetMode="External"/><Relationship Id="rId66" Type="http://schemas.openxmlformats.org/officeDocument/2006/relationships/hyperlink" Target="https://www.nerdwallet.com/credit-cards/best/building-credit" TargetMode="External"/><Relationship Id="rId67" Type="http://schemas.openxmlformats.org/officeDocument/2006/relationships/hyperlink" Target="https://www.nerdwallet.com/credit-cards/best/building-credit" TargetMode="External"/><Relationship Id="rId68" Type="http://schemas.openxmlformats.org/officeDocument/2006/relationships/hyperlink" Target="https://www.nerdwallet.com/credit-cards/best/building-credit" TargetMode="External"/><Relationship Id="rId69" Type="http://schemas.openxmlformats.org/officeDocument/2006/relationships/hyperlink" Target="https://www.nerdwallet.com/business/credit-cards/best/no-credit-check" TargetMode="External"/><Relationship Id="rId70" Type="http://schemas.openxmlformats.org/officeDocument/2006/relationships/hyperlink" Target="https://doctorofcredit.com/which-business-credit-cards-report/" TargetMode="External"/><Relationship Id="rId71" Type="http://schemas.openxmlformats.org/officeDocument/2006/relationships/hyperlink" Target="https://www.nerdwallet.com/business/credit-cards/best/no-credit-check" TargetMode="External"/><Relationship Id="rId72" Type="http://schemas.openxmlformats.org/officeDocument/2006/relationships/hyperlink" Target="https://www.nerdwallet.com/business/credit-cards/best/no-credit-check" TargetMode="External"/><Relationship Id="rId73" Type="http://schemas.openxmlformats.org/officeDocument/2006/relationships/hyperlink" Target="https://doctorofcredit.com/which-business-credit-cards-report/" TargetMode="External"/><Relationship Id="rId74" Type="http://schemas.openxmlformats.org/officeDocument/2006/relationships/hyperlink" Target="https://www.nerdwallet.com/business/credit-cards/best/no-credit-check" TargetMode="External"/><Relationship Id="rId75" Type="http://schemas.openxmlformats.org/officeDocument/2006/relationships/hyperlink" Target="https://www.lendingtree.com/business/no-doc-loans/" TargetMode="External"/><Relationship Id="rId76" Type="http://schemas.openxmlformats.org/officeDocument/2006/relationships/hyperlink" Target="https://www.lendingtree.com/business/no-doc-loans/" TargetMode="External"/><Relationship Id="rId77" Type="http://schemas.openxmlformats.org/officeDocument/2006/relationships/hyperlink" Target="https://www.nerdwallet.com/best/small-business/business-line-of-credit" TargetMode="External"/><Relationship Id="rId78" Type="http://schemas.openxmlformats.org/officeDocument/2006/relationships/hyperlink" Target="https://www.nerdwallet.com/article/small-business/startup-business-line-of-credit" TargetMode="External"/><Relationship Id="rId79" Type="http://schemas.openxmlformats.org/officeDocument/2006/relationships/hyperlink" Target="https://www.bankrate.com/loans/small-business/reviews/american-express-business-blueprint" TargetMode="External"/><Relationship Id="rId80" Type="http://schemas.openxmlformats.org/officeDocument/2006/relationships/hyperlink" Target="https://www.nerdwallet.com/best/small-business/business-line-of-credit" TargetMode="External"/><Relationship Id="rId81" Type="http://schemas.openxmlformats.org/officeDocument/2006/relationships/hyperlink" Target="https://www.lendingtree.com/business/no-doc-loans/" TargetMode="External"/><Relationship Id="rId82" Type="http://schemas.openxmlformats.org/officeDocument/2006/relationships/hyperlink" Target="https://www.nerdwallet.com/business/loans/best/bad-credit" TargetMode="External"/><Relationship Id="rId83" Type="http://schemas.openxmlformats.org/officeDocument/2006/relationships/hyperlink" Target="https://www.bankrate.com/loans/small-business/best-equipment-business-loans" TargetMode="External"/><Relationship Id="rId84" Type="http://schemas.openxmlformats.org/officeDocument/2006/relationships/hyperlink" Target="https://www.bankrate.com/loans/small-business/best-equipment-business-loans" TargetMode="External"/><Relationship Id="rId85" Type="http://schemas.openxmlformats.org/officeDocument/2006/relationships/hyperlink" Target="https://www.bankrate.com/loans/small-business/best-equipment-business-loans" TargetMode="External"/><Relationship Id="rId86" Type="http://schemas.openxmlformats.org/officeDocument/2006/relationships/hyperlink" Target="https://nerdwallet.com/business/loans/best/merchant-cash-advance-companies" TargetMode="External"/><Relationship Id="rId87" Type="http://schemas.openxmlformats.org/officeDocument/2006/relationships/hyperlink" Target="https://nerdwallet.com/business/loans/best/merchant-cash-advance-companies" TargetMode="External"/><Relationship Id="rId88" Type="http://schemas.openxmlformats.org/officeDocument/2006/relationships/hyperlink" Target="https://www.nerdwallet.com/business/loans/best/bad-credit" TargetMode="External"/><Relationship Id="rId89" Type="http://schemas.openxmlformats.org/officeDocument/2006/relationships/hyperlink" Target="https://nerdwallet.com/business/loans/best/merchant-cash-advance-companies" TargetMode="External"/><Relationship Id="rId90" Type="http://schemas.openxmlformats.org/officeDocument/2006/relationships/hyperlink" Target="https://nerdwallet.com/business/loans/best/merchant-cash-advance-companies" TargetMode="External"/><Relationship Id="rId91" Type="http://schemas.openxmlformats.org/officeDocument/2006/relationships/hyperlink" Target="https://www.lendingtree.com/business/no-doc-loans/" TargetMode="External"/><Relationship Id="rId92" Type="http://schemas.openxmlformats.org/officeDocument/2006/relationships/hyperlink" Target="https://www.lendingtree.com/business/invoice-factoring/" TargetMode="External"/><Relationship Id="rId93" Type="http://schemas.openxmlformats.org/officeDocument/2006/relationships/hyperlink" Target="https://www.lendingtree.com/business/invoice-factoring/" TargetMode="External"/><Relationship Id="rId94" Type="http://schemas.openxmlformats.org/officeDocument/2006/relationships/hyperlink" Target="https://www.lendingtree.com/business/invoice-factoring/" TargetMode="External"/><Relationship Id="rId95" Type="http://schemas.openxmlformats.org/officeDocument/2006/relationships/hyperlink" Target="https://www.lendingtree.com/business/no-doc-loans/" TargetMode="External"/><Relationship Id="rId96" Type="http://schemas.openxmlformats.org/officeDocument/2006/relationships/hyperlink" Target="https://www.bankrate.com/loans/small-business/best-equipment-business-loans" TargetMode="External"/><Relationship Id="rId97" Type="http://schemas.openxmlformats.org/officeDocument/2006/relationships/hyperlink" Target="https://www.bankrate.com/loans/small-business/best-equipment-business-loans" TargetMode="External"/><Relationship Id="rId98" Type="http://schemas.openxmlformats.org/officeDocument/2006/relationships/hyperlink" Target="https://www.bankrate.com/loans/small-business/best-equipment-business-loans" TargetMode="External"/><Relationship Id="rId99" Type="http://schemas.openxmlformats.org/officeDocument/2006/relationships/hyperlink" Target="https://www.bankrate.com/loans/small-business/best-equipment-business-loans" TargetMode="External"/><Relationship Id="rId100" Type="http://schemas.openxmlformats.org/officeDocument/2006/relationships/hyperlink" Target="https://www.nerdwallet.com/business/loans/best/bad-credit" TargetMode="External"/><Relationship Id="rId101" Type="http://schemas.openxmlformats.org/officeDocument/2006/relationships/hyperlink" Target="https://www.naggl.org/sba-notice-formally-announcing-sunsetting-of-sbss-scoring-and-providing-new-underwriting-requirements-for-7a-small-loans/" TargetMode="External"/><Relationship Id="rId102" Type="http://schemas.openxmlformats.org/officeDocument/2006/relationships/hyperlink" Target="https://www.nerdwallet.com/best/small-business/business-line-of-credit" TargetMode="External"/><Relationship Id="rId103" Type="http://schemas.openxmlformats.org/officeDocument/2006/relationships/hyperlink" Target="https://www.lendingtree.com/business/microloans" TargetMode="External"/><Relationship Id="rId104" Type="http://schemas.openxmlformats.org/officeDocument/2006/relationships/hyperlink" Target="https://www.lendingtree.com/business/microloans" TargetMode="External"/><Relationship Id="rId105" Type="http://schemas.openxmlformats.org/officeDocument/2006/relationships/hyperlink" Target="https://www.lendingtree.com/business/microloans" TargetMode="External"/><Relationship Id="rId106" Type="http://schemas.openxmlformats.org/officeDocument/2006/relationships/hyperlink" Target="https://www.lendingtree.com/business/microloans" TargetMode="External"/><Relationship Id="rId107" Type="http://schemas.openxmlformats.org/officeDocument/2006/relationships/hyperlink" Target="https://www.lendingtree.com/business/microloans" TargetMode="External"/><Relationship Id="rId108" Type="http://schemas.openxmlformats.org/officeDocument/2006/relationships/hyperlink" Target="https://www.lendingtree.com/business/microloans" TargetMode="External"/><Relationship Id="rId109" Type="http://schemas.openxmlformats.org/officeDocument/2006/relationships/hyperlink" Target="https://www.lendingtree.com/business/microloans" TargetMode="External"/><Relationship Id="rId110" Type="http://schemas.openxmlformats.org/officeDocument/2006/relationships/hyperlink" Target="https://ficoforums.myfico.com/t5/General-Credit-Topics/Which-Report-Will-They-Pull-Part-2/td-p/6379773" TargetMode="External"/><Relationship Id="rId111" Type="http://schemas.openxmlformats.org/officeDocument/2006/relationships/hyperlink" Target="https://www.nerdwallet.com/best/loans/personal-loans/best-personal-loans-2" TargetMode="External"/><Relationship Id="rId112" Type="http://schemas.openxmlformats.org/officeDocument/2006/relationships/hyperlink" Target="https://ficoforums.myfico.com/t5/Personal-Finance/List-of-Personal-loan-lenders-with-PREAPPROVAL-links/td-p/5939849" TargetMode="External"/><Relationship Id="rId113" Type="http://schemas.openxmlformats.org/officeDocument/2006/relationships/hyperlink" Target="https://ficoforums.myfico.com/t5/Personal-Finance/List-of-Personal-loan-lenders-with-PREAPPROVAL-links/td-p/5939849" TargetMode="External"/><Relationship Id="rId114" Type="http://schemas.openxmlformats.org/officeDocument/2006/relationships/hyperlink" Target="https://ficoforums.myfico.com/t5/Personal-Finance/List-of-Personal-loan-lenders-with-PREAPPROVAL-links/td-p/5939849" TargetMode="External"/><Relationship Id="rId115" Type="http://schemas.openxmlformats.org/officeDocument/2006/relationships/hyperlink" Target="https://ficoforums.myfico.com/t5/Personal-Finance/List-of-Personal-loan-lenders-with-PREAPPROVAL-links/td-p/5939849" TargetMode="External"/><Relationship Id="rId116" Type="http://schemas.openxmlformats.org/officeDocument/2006/relationships/hyperlink" Target="https://ficoforums.myfico.com/t5/Personal-Finance/List-of-Personal-loan-lenders-with-PREAPPROVAL-links/td-p/5939849" TargetMode="External"/><Relationship Id="rId117" Type="http://schemas.openxmlformats.org/officeDocument/2006/relationships/hyperlink" Target="https://www.nerdwallet.com/best/loans/personal-loans/best-personal-loans-2" TargetMode="External"/><Relationship Id="rId118" Type="http://schemas.openxmlformats.org/officeDocument/2006/relationships/hyperlink" Target="https://www.nerdwallet.com/best/loans/personal-loans/best-personal-loans-2" TargetMode="External"/><Relationship Id="rId119" Type="http://schemas.openxmlformats.org/officeDocument/2006/relationships/hyperlink" Target="https://ficoforums.myfico.com/t5/Personal-Finance/List-of-Personal-loan-lenders-with-PREAPPROVAL-links/td-p/5939849" TargetMode="External"/><Relationship Id="rId120" Type="http://schemas.openxmlformats.org/officeDocument/2006/relationships/hyperlink" Target="https://ficoforums.myfico.com/t5/Personal-Finance/List-of-Personal-loan-lenders-with-PREAPPROVAL-links/td-p/5939849" TargetMode="External"/><Relationship Id="rId121" Type="http://schemas.openxmlformats.org/officeDocument/2006/relationships/hyperlink" Target="https://financer.com/loans/what-credit-score-is-needed-for-a-personal-loan/" TargetMode="External"/><Relationship Id="rId122" Type="http://schemas.openxmlformats.org/officeDocument/2006/relationships/hyperlink" Target="https://www.finder.com/personal-loans/best-bad-credit-personal-loans" TargetMode="External"/><Relationship Id="rId123" Type="http://schemas.openxmlformats.org/officeDocument/2006/relationships/hyperlink" Target="https://financer.com/loans/what-credit-score-is-needed-for-a-personal-loan/" TargetMode="External"/><Relationship Id="rId124" Type="http://schemas.openxmlformats.org/officeDocument/2006/relationships/hyperlink" Target="https://www.finder.com/personal-loans/best-bad-credit-personal-loans" TargetMode="External"/><Relationship Id="rId125" Type="http://schemas.openxmlformats.org/officeDocument/2006/relationships/hyperlink" Target="https://www.finder.com/personal-loans/best-bad-credit-personal-loans" TargetMode="External"/><Relationship Id="rId126" Type="http://schemas.openxmlformats.org/officeDocument/2006/relationships/hyperlink" Target="https://www.finder.com/personal-loans/best-bad-credit-personal-loans" TargetMode="External"/><Relationship Id="rId127" Type="http://schemas.openxmlformats.org/officeDocument/2006/relationships/hyperlink" Target="https://www.crediful.com/auto-loans-for-bad-credit/" TargetMode="External"/><Relationship Id="rId128" Type="http://schemas.openxmlformats.org/officeDocument/2006/relationships/hyperlink" Target="https://ficoforums.myfico.com/t5/General-Credit-Topics/Which-Report-Will-They-Pull-Part-2/td-p/6379773" TargetMode="External"/><Relationship Id="rId129" Type="http://schemas.openxmlformats.org/officeDocument/2006/relationships/hyperlink" Target="https://www.crediful.com/auto-loans-for-bad-credit/" TargetMode="External"/><Relationship Id="rId130" Type="http://schemas.openxmlformats.org/officeDocument/2006/relationships/hyperlink" Target="https://www.crediful.com/auto-loans-for-bad-credit/" TargetMode="External"/><Relationship Id="rId131" Type="http://schemas.openxmlformats.org/officeDocument/2006/relationships/hyperlink" Target="https://www.sofi.com/learn/content/which-credit-score-is-used/" TargetMode="External"/><Relationship Id="rId132" Type="http://schemas.openxmlformats.org/officeDocument/2006/relationships/hyperlink" Target="https://nationalmortgageprofessional.com/news/fhfa-opens-vantagescore-all-gse-lenders-eyes-credit-report-overhaul" TargetMode="External"/><Relationship Id="rId133" Type="http://schemas.openxmlformats.org/officeDocument/2006/relationships/hyperlink" Target="https://nationalmortgageprofessional.com/news/fhfa-opens-vantagescore-all-gse-lenders-eyes-credit-report-overhaul" TargetMode="External"/><Relationship Id="rId134" Type="http://schemas.openxmlformats.org/officeDocument/2006/relationships/hyperlink" Target="https://newsilver.com/dscr-loan/best-dscr-lenders/" TargetMode="External"/><Relationship Id="rId135" Type="http://schemas.openxmlformats.org/officeDocument/2006/relationships/hyperlink" Target="https://newsilver.com/dscr-loan/best-dscr-lenders/" TargetMode="External"/><Relationship Id="rId136" Type="http://schemas.openxmlformats.org/officeDocument/2006/relationships/hyperlink" Target="https://theclose.com/best-fix-and-flip-loans" TargetMode="External"/><Relationship Id="rId137" Type="http://schemas.openxmlformats.org/officeDocument/2006/relationships/hyperlink" Target="https://newsilver.com/dscr-loan/best-dscr-lenders/" TargetMode="External"/><Relationship Id="rId138" Type="http://schemas.openxmlformats.org/officeDocument/2006/relationships/hyperlink" Target="https://newsilver.com/dscr-loan/best-dscr-lenders/" TargetMode="External"/><Relationship Id="rId139" Type="http://schemas.openxmlformats.org/officeDocument/2006/relationships/hyperlink" Target="https://newsilver.com/dscr-loan/best-dscr-lenders/" TargetMode="External"/><Relationship Id="rId140" Type="http://schemas.openxmlformats.org/officeDocument/2006/relationships/hyperlink" Target="https://startupsavant.com/net-30-vendors" TargetMode="External"/><Relationship Id="rId141" Type="http://schemas.openxmlformats.org/officeDocument/2006/relationships/hyperlink" Target="https://startupsavant.com/net-30-vendors" TargetMode="External"/><Relationship Id="rId142" Type="http://schemas.openxmlformats.org/officeDocument/2006/relationships/hyperlink" Target="https://startupsavant.com/net-30-vendors" TargetMode="External"/><Relationship Id="rId143" Type="http://schemas.openxmlformats.org/officeDocument/2006/relationships/hyperlink" Target="https://startupsavant.com/net-30-vendors" TargetMode="External"/><Relationship Id="rId144" Type="http://schemas.openxmlformats.org/officeDocument/2006/relationships/hyperlink" Target="https://startupsavant.com/net-30-vendors" TargetMode="External"/><Relationship Id="rId145" Type="http://schemas.openxmlformats.org/officeDocument/2006/relationships/hyperlink" Target="https://startupsavant.com/net-30-vendors" TargetMode="External"/><Relationship Id="rId146" Type="http://schemas.openxmlformats.org/officeDocument/2006/relationships/hyperlink" Target="https://startupsavant.com/net-30-vendors" TargetMode="External"/><Relationship Id="rId147" Type="http://schemas.openxmlformats.org/officeDocument/2006/relationships/hyperlink" Target="https://startupsavant.com/net-30-vendors" TargetMode="External"/><Relationship Id="rId148" Type="http://schemas.openxmlformats.org/officeDocument/2006/relationships/hyperlink" Target="https://nationalmortgageprofessional.com/news/fhfa-opens-vantagescore-all-gse-lenders-eyes-credit-report-overhaul" TargetMode="External"/><Relationship Id="rId149"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ficoforums.myfico.com/t5/General-Credit-Topics/Which-Report-Will-They-Pull-Part-2/td-p/6379773" TargetMode="External"/><Relationship Id="rId2" Type="http://schemas.openxmlformats.org/officeDocument/2006/relationships/hyperlink" Target="https://ficoforums.myfico.com/t5/General-Credit-Topics/Which-Report-Will-They-Pull-Part-2/td-p/6379773" TargetMode="External"/><Relationship Id="rId3" Type="http://schemas.openxmlformats.org/officeDocument/2006/relationships/hyperlink" Target="https://ficoforums.myfico.com/t5/General-Credit-Topics/Which-Report-Will-They-Pull-Part-2/td-p/6379773" TargetMode="External"/><Relationship Id="rId4" Type="http://schemas.openxmlformats.org/officeDocument/2006/relationships/hyperlink" Target="https://ficoforums.myfico.com/t5/General-Credit-Topics/Which-Report-Will-They-Pull-Part-2/td-p/6379773" TargetMode="External"/><Relationship Id="rId5" Type="http://schemas.openxmlformats.org/officeDocument/2006/relationships/hyperlink" Target="https://ficoforums.myfico.com/t5/General-Credit-Topics/Which-Report-Will-They-Pull-Part-2/td-p/6379773" TargetMode="External"/><Relationship Id="rId6" Type="http://schemas.openxmlformats.org/officeDocument/2006/relationships/hyperlink" Target="https://ficoforums.myfico.com/t5/General-Credit-Topics/Which-Report-Will-They-Pull-Part-2/td-p/6379773" TargetMode="External"/><Relationship Id="rId7" Type="http://schemas.openxmlformats.org/officeDocument/2006/relationships/hyperlink" Target="https://ficoforums.myfico.com/t5/General-Credit-Topics/Which-Report-Will-They-Pull-Part-2/td-p/6379773" TargetMode="External"/><Relationship Id="rId8" Type="http://schemas.openxmlformats.org/officeDocument/2006/relationships/hyperlink" Target="https://www.doctorofcredit.com/credit-bureau-american-express-pull" TargetMode="External"/><Relationship Id="rId9" Type="http://schemas.openxmlformats.org/officeDocument/2006/relationships/hyperlink" Target="https://www.doctorofcredit.com/credit-bureau-american-express-pull" TargetMode="External"/><Relationship Id="rId10" Type="http://schemas.openxmlformats.org/officeDocument/2006/relationships/hyperlink" Target="https://www.doctorofcredit.com/credit-bureau-american-express-pull" TargetMode="External"/><Relationship Id="rId11" Type="http://schemas.openxmlformats.org/officeDocument/2006/relationships/hyperlink" Target="https://www.doctorofcredit.com/credit-bureau-american-express-pull" TargetMode="External"/><Relationship Id="rId12" Type="http://schemas.openxmlformats.org/officeDocument/2006/relationships/hyperlink" Target="https://ficoforums.myfico.com/t5/General-Credit-Topics/Which-Report-Will-They-Pull-Part-2/td-p/6379773" TargetMode="External"/><Relationship Id="rId13" Type="http://schemas.openxmlformats.org/officeDocument/2006/relationships/hyperlink" Target="https://www.doctorofcredit.com/credit-bureau-american-express-pull" TargetMode="External"/><Relationship Id="rId14" Type="http://schemas.openxmlformats.org/officeDocument/2006/relationships/hyperlink" Target="https://www.doctorofcredit.com/credit-bureau-american-express-pull" TargetMode="External"/><Relationship Id="rId15" Type="http://schemas.openxmlformats.org/officeDocument/2006/relationships/hyperlink" Target="https://www.doctorofcredit.com/credit-bureau-american-express-pull" TargetMode="External"/><Relationship Id="rId16" Type="http://schemas.openxmlformats.org/officeDocument/2006/relationships/hyperlink" Target="https://www.doctorofcredit.com/credit-bureau-american-express-pull" TargetMode="External"/><Relationship Id="rId17" Type="http://schemas.openxmlformats.org/officeDocument/2006/relationships/hyperlink" Target="https://ficoforums.myfico.com/t5/General-Credit-Topics/Which-Report-Will-They-Pull-Part-2/td-p/6379773" TargetMode="External"/><Relationship Id="rId18" Type="http://schemas.openxmlformats.org/officeDocument/2006/relationships/hyperlink" Target="https://www.doctorofcredit.com/credit-bureau-american-express-pull" TargetMode="External"/><Relationship Id="rId19" Type="http://schemas.openxmlformats.org/officeDocument/2006/relationships/hyperlink" Target="https://ficoforums.myfico.com/t5/General-Credit-Topics/Which-Report-Will-They-Pull-Part-2/td-p/6379773" TargetMode="External"/><Relationship Id="rId20" Type="http://schemas.openxmlformats.org/officeDocument/2006/relationships/hyperlink" Target="https://www.doctorofcredit.com/credit-bureau-american-express-pull" TargetMode="External"/><Relationship Id="rId21" Type="http://schemas.openxmlformats.org/officeDocument/2006/relationships/hyperlink" Target="https://ficoforums.myfico.com/t5/General-Credit-Topics/Which-Report-Will-They-Pull-Part-2/td-p/6379773" TargetMode="External"/><Relationship Id="rId22" Type="http://schemas.openxmlformats.org/officeDocument/2006/relationships/hyperlink" Target="https://www.doctorofcredit.com/credit-bureau-american-express-pull" TargetMode="External"/><Relationship Id="rId23" Type="http://schemas.openxmlformats.org/officeDocument/2006/relationships/hyperlink" Target="https://ficoforums.myfico.com/t5/General-Credit-Topics/Which-Report-Will-They-Pull-Part-2/td-p/6379773" TargetMode="External"/><Relationship Id="rId24" Type="http://schemas.openxmlformats.org/officeDocument/2006/relationships/hyperlink" Target="https://www.doctorofcredit.com/credit-bureau-american-express-pull" TargetMode="External"/><Relationship Id="rId25" Type="http://schemas.openxmlformats.org/officeDocument/2006/relationships/hyperlink" Target="https://www.doctorofcredit.com/credit-bureau-american-express-pull" TargetMode="External"/><Relationship Id="rId26" Type="http://schemas.openxmlformats.org/officeDocument/2006/relationships/hyperlink" Target="https://ficoforums.myfico.com/t5/General-Credit-Topics/Which-Report-Will-They-Pull-Part-2/td-p/6379773" TargetMode="External"/><Relationship Id="rId27" Type="http://schemas.openxmlformats.org/officeDocument/2006/relationships/hyperlink" Target="https://www.doctorofcredit.com/credit-bureau-american-express-pull" TargetMode="External"/><Relationship Id="rId28" Type="http://schemas.openxmlformats.org/officeDocument/2006/relationships/hyperlink" Target="https://www.doctorofcredit.com/credit-bureau-american-express-pull" TargetMode="External"/><Relationship Id="rId29" Type="http://schemas.openxmlformats.org/officeDocument/2006/relationships/hyperlink" Target="https://ficoforums.myfico.com/t5/General-Credit-Topics/Which-Report-Will-They-Pull-Part-2/td-p/6379773" TargetMode="External"/><Relationship Id="rId30" Type="http://schemas.openxmlformats.org/officeDocument/2006/relationships/hyperlink" Target="https://www.doctorofcredit.com/credit-bureau-american-express-pull" TargetMode="External"/><Relationship Id="rId31" Type="http://schemas.openxmlformats.org/officeDocument/2006/relationships/hyperlink" Target="https://www.doctorofcredit.com/credit-bureau-american-express-pull" TargetMode="External"/><Relationship Id="rId32" Type="http://schemas.openxmlformats.org/officeDocument/2006/relationships/hyperlink" Target="https://www.doctorofcredit.com/credit-bureau-american-express-pull" TargetMode="External"/><Relationship Id="rId33" Type="http://schemas.openxmlformats.org/officeDocument/2006/relationships/hyperlink" Target="https://www.doctorofcredit.com/credit-bureau-american-express-pull" TargetMode="External"/><Relationship Id="rId34" Type="http://schemas.openxmlformats.org/officeDocument/2006/relationships/hyperlink" Target="https://www.doctorofcredit.com/credit-bureau-american-express-pull" TargetMode="External"/><Relationship Id="rId35" Type="http://schemas.openxmlformats.org/officeDocument/2006/relationships/hyperlink" Target="https://www.doctorofcredit.com/credit-bureau-american-express-pull" TargetMode="External"/><Relationship Id="rId36" Type="http://schemas.openxmlformats.org/officeDocument/2006/relationships/hyperlink" Target="https://www.doctorofcredit.com/credit-bureau-american-express-pull" TargetMode="External"/><Relationship Id="rId37" Type="http://schemas.openxmlformats.org/officeDocument/2006/relationships/hyperlink" Target="https://www.doctorofcredit.com/credit-bureau-american-express-pull" TargetMode="External"/><Relationship Id="rId38" Type="http://schemas.openxmlformats.org/officeDocument/2006/relationships/hyperlink" Target="https://ficoforums.myfico.com/t5/General-Credit-Topics/Which-Report-Will-They-Pull-Part-2/td-p/6379773" TargetMode="External"/><Relationship Id="rId39" Type="http://schemas.openxmlformats.org/officeDocument/2006/relationships/hyperlink" Target="https://www.doctorofcredit.com/credit-bureau-american-express-pull" TargetMode="External"/><Relationship Id="rId40" Type="http://schemas.openxmlformats.org/officeDocument/2006/relationships/hyperlink" Target="https://www.doctorofcredit.com/credit-bureau-american-express-pull" TargetMode="External"/><Relationship Id="rId41" Type="http://schemas.openxmlformats.org/officeDocument/2006/relationships/hyperlink" Target="https://ficoforums.myfico.com/t5/General-Credit-Topics/Which-Report-Will-They-Pull-Part-2/td-p/6379773" TargetMode="External"/><Relationship Id="rId42" Type="http://schemas.openxmlformats.org/officeDocument/2006/relationships/hyperlink" Target="https://www.doctorofcredit.com/credit-bureau-american-express-pull" TargetMode="External"/><Relationship Id="rId43" Type="http://schemas.openxmlformats.org/officeDocument/2006/relationships/hyperlink" Target="https://www.doctorofcredit.com/credit-bureau-american-express-pull" TargetMode="External"/><Relationship Id="rId44" Type="http://schemas.openxmlformats.org/officeDocument/2006/relationships/hyperlink" Target="https://www.doctorofcredit.com/credit-bureau-american-express-pull" TargetMode="External"/><Relationship Id="rId45" Type="http://schemas.openxmlformats.org/officeDocument/2006/relationships/hyperlink" Target="https://ficoforums.myfico.com/t5/General-Credit-Topics/Which-Report-Will-They-Pull-Part-2/td-p/6379773" TargetMode="External"/><Relationship Id="rId46" Type="http://schemas.openxmlformats.org/officeDocument/2006/relationships/hyperlink" Target="https://www.doctorofcredit.com/credit-bureau-american-express-pull" TargetMode="External"/><Relationship Id="rId47" Type="http://schemas.openxmlformats.org/officeDocument/2006/relationships/hyperlink" Target="https://ficoforums.myfico.com/t5/General-Credit-Topics/Which-Report-Will-They-Pull-Part-2/td-p/6379773" TargetMode="External"/><Relationship Id="rId48" Type="http://schemas.openxmlformats.org/officeDocument/2006/relationships/hyperlink" Target="https://www.doctorofcredit.com/credit-bureau-american-express-pull" TargetMode="External"/><Relationship Id="rId49" Type="http://schemas.openxmlformats.org/officeDocument/2006/relationships/hyperlink" Target="https://ficoforums.myfico.com/t5/General-Credit-Topics/Which-Report-Will-They-Pull-Part-2/td-p/6379773" TargetMode="External"/><Relationship Id="rId50" Type="http://schemas.openxmlformats.org/officeDocument/2006/relationships/hyperlink" Target="https://www.doctorofcredit.com/credit-bureau-american-express-pull" TargetMode="External"/><Relationship Id="rId51" Type="http://schemas.openxmlformats.org/officeDocument/2006/relationships/hyperlink" Target="https://www.doctorofcredit.com/credit-bureau-american-express-pull" TargetMode="External"/><Relationship Id="rId52" Type="http://schemas.openxmlformats.org/officeDocument/2006/relationships/hyperlink" Target="https://ficoforums.myfico.com/t5/General-Credit-Topics/Which-Report-Will-They-Pull-Part-2/td-p/6379773" TargetMode="External"/><Relationship Id="rId53" Type="http://schemas.openxmlformats.org/officeDocument/2006/relationships/hyperlink" Target="https://www.doctorofcredit.com/credit-bureau-american-express-pull" TargetMode="External"/><Relationship Id="rId54" Type="http://schemas.openxmlformats.org/officeDocument/2006/relationships/hyperlink" Target="https://ficoforums.myfico.com/t5/General-Credit-Topics/Which-Report-Will-They-Pull-Part-2/td-p/6379773" TargetMode="External"/><Relationship Id="rId55" Type="http://schemas.openxmlformats.org/officeDocument/2006/relationships/hyperlink" Target="https://www.doctorofcredit.com/credit-bureau-american-express-pull" TargetMode="External"/><Relationship Id="rId56" Type="http://schemas.openxmlformats.org/officeDocument/2006/relationships/hyperlink" Target="https://www.doctorofcredit.com/credit-bureau-american-express-pull" TargetMode="External"/><Relationship Id="rId57" Type="http://schemas.openxmlformats.org/officeDocument/2006/relationships/hyperlink" Target="https://ficoforums.myfico.com/t5/General-Credit-Topics/Which-Report-Will-They-Pull-Part-2/td-p/6379773" TargetMode="External"/><Relationship Id="rId58" Type="http://schemas.openxmlformats.org/officeDocument/2006/relationships/hyperlink" Target="https://www.doctorofcredit.com/credit-bureau-american-express-pull" TargetMode="External"/><Relationship Id="rId59" Type="http://schemas.openxmlformats.org/officeDocument/2006/relationships/hyperlink" Target="https://www.doctorofcredit.com/credit-bureau-american-express-pull" TargetMode="External"/><Relationship Id="rId60" Type="http://schemas.openxmlformats.org/officeDocument/2006/relationships/hyperlink" Target="https://ficoforums.myfico.com/t5/General-Credit-Topics/Which-Report-Will-They-Pull-Part-2/td-p/6379773" TargetMode="External"/><Relationship Id="rId61" Type="http://schemas.openxmlformats.org/officeDocument/2006/relationships/hyperlink" Target="https://www.doctorofcredit.com/credit-bureau-american-express-pull" TargetMode="External"/><Relationship Id="rId62" Type="http://schemas.openxmlformats.org/officeDocument/2006/relationships/hyperlink" Target="https://ficoforums.myfico.com/t5/General-Credit-Topics/Which-Report-Will-They-Pull-Part-2/td-p/6379773" TargetMode="External"/><Relationship Id="rId63" Type="http://schemas.openxmlformats.org/officeDocument/2006/relationships/hyperlink" Target="https://www.doctorofcredit.com/credit-bureau-american-express-pull" TargetMode="External"/><Relationship Id="rId64" Type="http://schemas.openxmlformats.org/officeDocument/2006/relationships/hyperlink" Target="https://ficoforums.myfico.com/t5/General-Credit-Topics/Which-Report-Will-They-Pull-Part-2/td-p/6379773" TargetMode="External"/><Relationship Id="rId65" Type="http://schemas.openxmlformats.org/officeDocument/2006/relationships/hyperlink" Target="https://ficoforums.myfico.com/t5/General-Credit-Topics/Which-Report-Will-They-Pull-Part-2/td-p/6379773" TargetMode="External"/><Relationship Id="rId66" Type="http://schemas.openxmlformats.org/officeDocument/2006/relationships/hyperlink" Target="https://ficoforums.myfico.com/t5/General-Credit-Topics/Which-Report-Will-They-Pull-Part-2/td-p/6379773" TargetMode="External"/><Relationship Id="rId67" Type="http://schemas.openxmlformats.org/officeDocument/2006/relationships/hyperlink" Target="https://ficoforums.myfico.com/t5/General-Credit-Topics/Which-Report-Will-They-Pull-Part-2/td-p/6379773" TargetMode="External"/><Relationship Id="rId68" Type="http://schemas.openxmlformats.org/officeDocument/2006/relationships/hyperlink" Target="https://ficoforums.myfico.com/t5/General-Credit-Topics/Which-Report-Will-They-Pull-Part-2/td-p/6379773" TargetMode="External"/><Relationship Id="rId69" Type="http://schemas.openxmlformats.org/officeDocument/2006/relationships/hyperlink" Target="https://ficoforums.myfico.com/t5/General-Credit-Topics/Which-Report-Will-They-Pull-Part-2/td-p/6379773" TargetMode="External"/><Relationship Id="rId70" Type="http://schemas.openxmlformats.org/officeDocument/2006/relationships/hyperlink" Target="https://ficoforums.myfico.com/t5/General-Credit-Topics/Which-Report-Will-They-Pull-Part-2/td-p/6379773" TargetMode="External"/><Relationship Id="rId71" Type="http://schemas.openxmlformats.org/officeDocument/2006/relationships/hyperlink" Target="https://ficoforums.myfico.com/t5/General-Credit-Topics/Which-Report-Will-They-Pull-Part-2/td-p/6379773" TargetMode="External"/><Relationship Id="rId72" Type="http://schemas.openxmlformats.org/officeDocument/2006/relationships/hyperlink" Target="https://ficoforums.myfico.com/t5/General-Credit-Topics/Which-Report-Will-They-Pull-Part-2/td-p/6379773" TargetMode="External"/><Relationship Id="rId73" Type="http://schemas.openxmlformats.org/officeDocument/2006/relationships/hyperlink" Target="https://ficoforums.myfico.com/t5/General-Credit-Topics/Which-Report-Will-They-Pull-Part-2/td-p/6379773" TargetMode="External"/><Relationship Id="rId74" Type="http://schemas.openxmlformats.org/officeDocument/2006/relationships/hyperlink" Target="https://ficoforums.myfico.com/t5/General-Credit-Topics/Which-Report-Will-They-Pull-Part-2/td-p/6379773" TargetMode="External"/><Relationship Id="rId75" Type="http://schemas.openxmlformats.org/officeDocument/2006/relationships/hyperlink" Target="https://ficoforums.myfico.com/t5/General-Credit-Topics/Which-Report-Will-They-Pull-Part-2/td-p/6379773" TargetMode="External"/><Relationship Id="rId76" Type="http://schemas.openxmlformats.org/officeDocument/2006/relationships/hyperlink" Target="https://ficoforums.myfico.com/t5/General-Credit-Topics/Which-Report-Will-They-Pull-Part-2/td-p/6379773" TargetMode="External"/><Relationship Id="rId77" Type="http://schemas.openxmlformats.org/officeDocument/2006/relationships/hyperlink" Target="https://ficoforums.myfico.com/t5/General-Credit-Topics/Which-Report-Will-They-Pull-Part-2/td-p/6379773" TargetMode="External"/><Relationship Id="rId78" Type="http://schemas.openxmlformats.org/officeDocument/2006/relationships/hyperlink" Target="https://ficoforums.myfico.com/t5/General-Credit-Topics/Which-Report-Will-They-Pull-Part-2/td-p/6379773" TargetMode="External"/><Relationship Id="rId79" Type="http://schemas.openxmlformats.org/officeDocument/2006/relationships/hyperlink" Target="https://ficoforums.myfico.com/t5/General-Credit-Topics/Which-Report-Will-They-Pull-Part-2/td-p/6379773" TargetMode="External"/><Relationship Id="rId80" Type="http://schemas.openxmlformats.org/officeDocument/2006/relationships/hyperlink" Target="https://www.doctorofcredit.com/credit-bureau-bank-america-pull/" TargetMode="External"/><Relationship Id="rId81" Type="http://schemas.openxmlformats.org/officeDocument/2006/relationships/hyperlink" Target="https://www.doctorofcredit.com/credit-bureau-bank-america-pull/" TargetMode="External"/><Relationship Id="rId82" Type="http://schemas.openxmlformats.org/officeDocument/2006/relationships/hyperlink" Target="https://mybanktracker.com/credit-cards/credit-score/credit-report-bank-of-america-pull-273501" TargetMode="External"/><Relationship Id="rId83" Type="http://schemas.openxmlformats.org/officeDocument/2006/relationships/hyperlink" Target="https://www.doctorofcredit.com/credit-bureau-bank-america-pull/" TargetMode="External"/><Relationship Id="rId84" Type="http://schemas.openxmlformats.org/officeDocument/2006/relationships/hyperlink" Target="https://mybanktracker.com/credit-cards/credit-score/credit-report-bank-of-america-pull-273501" TargetMode="External"/><Relationship Id="rId85" Type="http://schemas.openxmlformats.org/officeDocument/2006/relationships/hyperlink" Target="https://www.doctorofcredit.com/credit-bureau-bank-america-pull/" TargetMode="External"/><Relationship Id="rId86" Type="http://schemas.openxmlformats.org/officeDocument/2006/relationships/hyperlink" Target="https://mybanktracker.com/credit-cards/credit-score/credit-report-bank-of-america-pull-273501" TargetMode="External"/><Relationship Id="rId87" Type="http://schemas.openxmlformats.org/officeDocument/2006/relationships/hyperlink" Target="https://www.doctorofcredit.com/credit-bureau-bank-america-pull/" TargetMode="External"/><Relationship Id="rId88" Type="http://schemas.openxmlformats.org/officeDocument/2006/relationships/hyperlink" Target="https://mybanktracker.com/credit-cards/credit-score/credit-report-bank-of-america-pull-273501" TargetMode="External"/><Relationship Id="rId89" Type="http://schemas.openxmlformats.org/officeDocument/2006/relationships/hyperlink" Target="https://ficoforums.myfico.com/t5/General-Credit-Topics/Which-Report-Will-They-Pull-Part-2/td-p/6379773" TargetMode="External"/><Relationship Id="rId90" Type="http://schemas.openxmlformats.org/officeDocument/2006/relationships/hyperlink" Target="https://www.doctorofcredit.com/credit-bureau-bank-america-pull/" TargetMode="External"/><Relationship Id="rId91" Type="http://schemas.openxmlformats.org/officeDocument/2006/relationships/hyperlink" Target="https://mybanktracker.com/credit-cards/credit-score/credit-report-bank-of-america-pull-273501" TargetMode="External"/><Relationship Id="rId92" Type="http://schemas.openxmlformats.org/officeDocument/2006/relationships/hyperlink" Target="https://www.doctorofcredit.com/credit-bureau-bank-america-pull/" TargetMode="External"/><Relationship Id="rId93" Type="http://schemas.openxmlformats.org/officeDocument/2006/relationships/hyperlink" Target="https://www.doctorofcredit.com/credit-bureau-bank-america-pull/" TargetMode="External"/><Relationship Id="rId94" Type="http://schemas.openxmlformats.org/officeDocument/2006/relationships/hyperlink" Target="https://www.doctorofcredit.com/credit-bureau-bank-america-pull/" TargetMode="External"/><Relationship Id="rId95" Type="http://schemas.openxmlformats.org/officeDocument/2006/relationships/hyperlink" Target="https://www.doctorofcredit.com/credit-bureau-bank-america-pull/" TargetMode="External"/><Relationship Id="rId96" Type="http://schemas.openxmlformats.org/officeDocument/2006/relationships/hyperlink" Target="https://mybanktracker.com/credit-cards/credit-score/credit-report-bank-of-america-pull-273501" TargetMode="External"/><Relationship Id="rId97" Type="http://schemas.openxmlformats.org/officeDocument/2006/relationships/hyperlink" Target="https://ficoforums.myfico.com/t5/General-Credit-Topics/Which-Report-Will-They-Pull-Part-2/td-p/6379773" TargetMode="External"/><Relationship Id="rId98" Type="http://schemas.openxmlformats.org/officeDocument/2006/relationships/hyperlink" Target="https://www.doctorofcredit.com/credit-bureau-bank-america-pull/" TargetMode="External"/><Relationship Id="rId99" Type="http://schemas.openxmlformats.org/officeDocument/2006/relationships/hyperlink" Target="https://mybanktracker.com/credit-cards/credit-score/credit-report-bank-of-america-pull-273501" TargetMode="External"/><Relationship Id="rId100" Type="http://schemas.openxmlformats.org/officeDocument/2006/relationships/hyperlink" Target="https://ficoforums.myfico.com/t5/General-Credit-Topics/Which-Report-Will-They-Pull-Part-2/td-p/6379773" TargetMode="External"/><Relationship Id="rId101" Type="http://schemas.openxmlformats.org/officeDocument/2006/relationships/hyperlink" Target="https://www.doctorofcredit.com/credit-bureau-bank-america-pull/" TargetMode="External"/><Relationship Id="rId102" Type="http://schemas.openxmlformats.org/officeDocument/2006/relationships/hyperlink" Target="https://www.doctorofcredit.com/credit-bureau-bank-america-pull/" TargetMode="External"/><Relationship Id="rId103" Type="http://schemas.openxmlformats.org/officeDocument/2006/relationships/hyperlink" Target="https://ficoforums.myfico.com/t5/General-Credit-Topics/Which-Report-Will-They-Pull-Part-2/td-p/6379773" TargetMode="External"/><Relationship Id="rId104" Type="http://schemas.openxmlformats.org/officeDocument/2006/relationships/hyperlink" Target="https://www.doctorofcredit.com/credit-bureau-bank-america-pull/" TargetMode="External"/><Relationship Id="rId105" Type="http://schemas.openxmlformats.org/officeDocument/2006/relationships/hyperlink" Target="https://mybanktracker.com/credit-cards/credit-score/credit-report-bank-of-america-pull-273501" TargetMode="External"/><Relationship Id="rId106" Type="http://schemas.openxmlformats.org/officeDocument/2006/relationships/hyperlink" Target="https://ficoforums.myfico.com/t5/General-Credit-Topics/Which-Report-Will-They-Pull-Part-2/td-p/6379773" TargetMode="External"/><Relationship Id="rId107" Type="http://schemas.openxmlformats.org/officeDocument/2006/relationships/hyperlink" Target="https://www.doctorofcredit.com/credit-bureau-bank-america-pull/" TargetMode="External"/><Relationship Id="rId108" Type="http://schemas.openxmlformats.org/officeDocument/2006/relationships/hyperlink" Target="https://mybanktracker.com/credit-cards/credit-score/credit-report-bank-of-america-pull-273501" TargetMode="External"/><Relationship Id="rId109" Type="http://schemas.openxmlformats.org/officeDocument/2006/relationships/hyperlink" Target="https://ficoforums.myfico.com/t5/General-Credit-Topics/Which-Report-Will-They-Pull-Part-2/td-p/6379773" TargetMode="External"/><Relationship Id="rId110" Type="http://schemas.openxmlformats.org/officeDocument/2006/relationships/hyperlink" Target="https://www.doctorofcredit.com/credit-bureau-bank-america-pull/" TargetMode="External"/><Relationship Id="rId111" Type="http://schemas.openxmlformats.org/officeDocument/2006/relationships/hyperlink" Target="https://www.doctorofcredit.com/credit-bureau-bank-america-pull/" TargetMode="External"/><Relationship Id="rId112" Type="http://schemas.openxmlformats.org/officeDocument/2006/relationships/hyperlink" Target="https://mybanktracker.com/credit-cards/credit-score/credit-report-bank-of-america-pull-273501" TargetMode="External"/><Relationship Id="rId113" Type="http://schemas.openxmlformats.org/officeDocument/2006/relationships/hyperlink" Target="https://ficoforums.myfico.com/t5/General-Credit-Topics/Which-Report-Will-They-Pull-Part-2/td-p/6379773" TargetMode="External"/><Relationship Id="rId114" Type="http://schemas.openxmlformats.org/officeDocument/2006/relationships/hyperlink" Target="https://www.doctorofcredit.com/credit-bureau-bank-america-pull/" TargetMode="External"/><Relationship Id="rId115" Type="http://schemas.openxmlformats.org/officeDocument/2006/relationships/hyperlink" Target="https://mybanktracker.com/credit-cards/credit-score/credit-report-bank-of-america-pull-273501" TargetMode="External"/><Relationship Id="rId116" Type="http://schemas.openxmlformats.org/officeDocument/2006/relationships/hyperlink" Target="https://www.doctorofcredit.com/credit-bureau-bank-america-pull/" TargetMode="External"/><Relationship Id="rId117" Type="http://schemas.openxmlformats.org/officeDocument/2006/relationships/hyperlink" Target="https://www.doctorofcredit.com/credit-bureau-bank-america-pull/" TargetMode="External"/><Relationship Id="rId118" Type="http://schemas.openxmlformats.org/officeDocument/2006/relationships/hyperlink" Target="https://mybanktracker.com/credit-cards/credit-score/credit-report-bank-of-america-pull-273501" TargetMode="External"/><Relationship Id="rId119" Type="http://schemas.openxmlformats.org/officeDocument/2006/relationships/hyperlink" Target="https://ficoforums.myfico.com/t5/General-Credit-Topics/Which-Report-Will-They-Pull-Part-2/td-p/6379773" TargetMode="External"/><Relationship Id="rId120" Type="http://schemas.openxmlformats.org/officeDocument/2006/relationships/hyperlink" Target="https://mybanktracker.com/credit-cards/credit-score/credit-report-bank-of-america-pull-273501" TargetMode="External"/><Relationship Id="rId121" Type="http://schemas.openxmlformats.org/officeDocument/2006/relationships/hyperlink" Target="https://www.doctorofcredit.com/credit-bureau-bank-america-pull/" TargetMode="External"/><Relationship Id="rId122" Type="http://schemas.openxmlformats.org/officeDocument/2006/relationships/hyperlink" Target="https://mybanktracker.com/credit-cards/credit-score/credit-report-bank-of-america-pull-273501" TargetMode="External"/><Relationship Id="rId123" Type="http://schemas.openxmlformats.org/officeDocument/2006/relationships/hyperlink" Target="https://www.doctorofcredit.com/credit-bureau-bank-america-pull/" TargetMode="External"/><Relationship Id="rId124" Type="http://schemas.openxmlformats.org/officeDocument/2006/relationships/hyperlink" Target="https://mybanktracker.com/credit-cards/credit-score/credit-report-bank-of-america-pull-273501" TargetMode="External"/><Relationship Id="rId125" Type="http://schemas.openxmlformats.org/officeDocument/2006/relationships/hyperlink" Target="https://ficoforums.myfico.com/t5/General-Credit-Topics/Which-Report-Will-They-Pull-Part-2/td-p/6379773" TargetMode="External"/><Relationship Id="rId126" Type="http://schemas.openxmlformats.org/officeDocument/2006/relationships/hyperlink" Target="https://www.doctorofcredit.com/credit-bureau-bank-america-pull/" TargetMode="External"/><Relationship Id="rId127" Type="http://schemas.openxmlformats.org/officeDocument/2006/relationships/hyperlink" Target="https://www.doctorofcredit.com/credit-bureau-bank-america-pull/" TargetMode="External"/><Relationship Id="rId128" Type="http://schemas.openxmlformats.org/officeDocument/2006/relationships/hyperlink" Target="https://mybanktracker.com/credit-cards/credit-score/credit-report-bank-of-america-pull-273501" TargetMode="External"/><Relationship Id="rId129" Type="http://schemas.openxmlformats.org/officeDocument/2006/relationships/hyperlink" Target="https://ficoforums.myfico.com/t5/General-Credit-Topics/Which-Report-Will-They-Pull-Part-2/td-p/6379773" TargetMode="External"/><Relationship Id="rId130" Type="http://schemas.openxmlformats.org/officeDocument/2006/relationships/hyperlink" Target="https://ficoforums.myfico.com/t5/General-Credit-Topics/Which-Report-Will-They-Pull-Part-2/td-p/6379773" TargetMode="External"/><Relationship Id="rId131" Type="http://schemas.openxmlformats.org/officeDocument/2006/relationships/hyperlink" Target="https://www.doctorofcredit.com/credit-bureau-bank-america-pull/" TargetMode="External"/><Relationship Id="rId132" Type="http://schemas.openxmlformats.org/officeDocument/2006/relationships/hyperlink" Target="https://mybanktracker.com/credit-cards/credit-score/credit-report-bank-of-america-pull-273501" TargetMode="External"/><Relationship Id="rId133" Type="http://schemas.openxmlformats.org/officeDocument/2006/relationships/hyperlink" Target="https://www.doctorofcredit.com/credit-bureau-bank-america-pull/" TargetMode="External"/><Relationship Id="rId134" Type="http://schemas.openxmlformats.org/officeDocument/2006/relationships/hyperlink" Target="https://mybanktracker.com/credit-cards/credit-score/credit-report-bank-of-america-pull-273501" TargetMode="External"/><Relationship Id="rId135" Type="http://schemas.openxmlformats.org/officeDocument/2006/relationships/hyperlink" Target="https://ficoforums.myfico.com/t5/General-Credit-Topics/Which-Report-Will-They-Pull-Part-2/td-p/6379773" TargetMode="External"/><Relationship Id="rId136" Type="http://schemas.openxmlformats.org/officeDocument/2006/relationships/hyperlink" Target="https://mybanktracker.com/credit-cards/credit-score/credit-report-bank-of-america-pull-273501" TargetMode="External"/><Relationship Id="rId137" Type="http://schemas.openxmlformats.org/officeDocument/2006/relationships/hyperlink" Target="https://www.doctorofcredit.com/credit-bureau-bank-america-pull/" TargetMode="External"/><Relationship Id="rId138" Type="http://schemas.openxmlformats.org/officeDocument/2006/relationships/hyperlink" Target="https://mybanktracker.com/credit-cards/credit-score/credit-report-bank-of-america-pull-273501" TargetMode="External"/><Relationship Id="rId139" Type="http://schemas.openxmlformats.org/officeDocument/2006/relationships/hyperlink" Target="https://www.doctorofcredit.com/credit-bureau-bank-america-pull/" TargetMode="External"/><Relationship Id="rId140" Type="http://schemas.openxmlformats.org/officeDocument/2006/relationships/hyperlink" Target="https://mybanktracker.com/credit-cards/credit-score/credit-report-bank-of-america-pull-273501" TargetMode="External"/><Relationship Id="rId141" Type="http://schemas.openxmlformats.org/officeDocument/2006/relationships/hyperlink" Target="https://ficoforums.myfico.com/t5/General-Credit-Topics/Which-Report-Will-They-Pull-Part-2/td-p/6379773" TargetMode="External"/><Relationship Id="rId142" Type="http://schemas.openxmlformats.org/officeDocument/2006/relationships/hyperlink" Target="https://www.doctorofcredit.com/credit-bureau-bank-america-pull/" TargetMode="External"/><Relationship Id="rId143" Type="http://schemas.openxmlformats.org/officeDocument/2006/relationships/hyperlink" Target="https://www.doctorofcredit.com/credit-bureau-bank-america-pull/" TargetMode="External"/><Relationship Id="rId144" Type="http://schemas.openxmlformats.org/officeDocument/2006/relationships/hyperlink" Target="https://mybanktracker.com/credit-cards/credit-score/credit-report-bank-of-america-pull-273501" TargetMode="External"/><Relationship Id="rId145" Type="http://schemas.openxmlformats.org/officeDocument/2006/relationships/hyperlink" Target="https://ficoforums.myfico.com/t5/General-Credit-Topics/Which-Report-Will-They-Pull-Part-2/td-p/6379773" TargetMode="External"/><Relationship Id="rId146" Type="http://schemas.openxmlformats.org/officeDocument/2006/relationships/hyperlink" Target="https://mybanktracker.com/credit-cards/credit-score/credit-report-bank-of-america-pull-273501" TargetMode="External"/><Relationship Id="rId147" Type="http://schemas.openxmlformats.org/officeDocument/2006/relationships/hyperlink" Target="https://www.doctorofcredit.com/credit-bureau-bank-america-pull/" TargetMode="External"/><Relationship Id="rId148" Type="http://schemas.openxmlformats.org/officeDocument/2006/relationships/hyperlink" Target="https://mybanktracker.com/credit-cards/credit-score/credit-report-bank-of-america-pull-273501" TargetMode="External"/><Relationship Id="rId149" Type="http://schemas.openxmlformats.org/officeDocument/2006/relationships/hyperlink" Target="https://ficoforums.myfico.com/t5/General-Credit-Topics/Which-Report-Will-They-Pull-Part-2/td-p/6379773" TargetMode="External"/><Relationship Id="rId150" Type="http://schemas.openxmlformats.org/officeDocument/2006/relationships/hyperlink" Target="https://www.doctorofcredit.com/credit-bureau-bank-america-pull/" TargetMode="External"/><Relationship Id="rId151" Type="http://schemas.openxmlformats.org/officeDocument/2006/relationships/hyperlink" Target="https://mybanktracker.com/credit-cards/credit-score/credit-report-bank-of-america-pull-273501" TargetMode="External"/><Relationship Id="rId152" Type="http://schemas.openxmlformats.org/officeDocument/2006/relationships/hyperlink" Target="https://ficoforums.myfico.com/t5/General-Credit-Topics/Which-Report-Will-They-Pull-Part-2/td-p/6379773" TargetMode="External"/><Relationship Id="rId153" Type="http://schemas.openxmlformats.org/officeDocument/2006/relationships/hyperlink" Target="https://www.doctorofcredit.com/credit-bureau-bank-america-pull/" TargetMode="External"/><Relationship Id="rId154" Type="http://schemas.openxmlformats.org/officeDocument/2006/relationships/hyperlink" Target="https://mybanktracker.com/credit-cards/credit-score/credit-report-bank-of-america-pull-273501" TargetMode="External"/><Relationship Id="rId155" Type="http://schemas.openxmlformats.org/officeDocument/2006/relationships/hyperlink" Target="https://ficoforums.myfico.com/t5/General-Credit-Topics/Which-Report-Will-They-Pull-Part-2/td-p/6379773" TargetMode="External"/><Relationship Id="rId156" Type="http://schemas.openxmlformats.org/officeDocument/2006/relationships/hyperlink" Target="https://www.doctorofcredit.com/credit-bureau-bank-america-pull/" TargetMode="External"/><Relationship Id="rId157" Type="http://schemas.openxmlformats.org/officeDocument/2006/relationships/hyperlink" Target="https://ficoforums.myfico.com/t5/General-Credit-Topics/Which-Report-Will-They-Pull-Part-2/td-p/6379773" TargetMode="External"/><Relationship Id="rId158" Type="http://schemas.openxmlformats.org/officeDocument/2006/relationships/hyperlink" Target="https://ficoforums.myfico.com/t5/General-Credit-Topics/Which-Report-Will-They-Pull-Part-2/td-p/6379773" TargetMode="External"/><Relationship Id="rId159" Type="http://schemas.openxmlformats.org/officeDocument/2006/relationships/hyperlink" Target="https://ficoforums.myfico.com/t5/General-Credit-Topics/Which-Report-Will-They-Pull-Part-2/td-p/6379773" TargetMode="External"/><Relationship Id="rId160" Type="http://schemas.openxmlformats.org/officeDocument/2006/relationships/hyperlink" Target="https://ficoforums.myfico.com/t5/General-Credit-Topics/Which-Report-Will-They-Pull-Part-2/td-p/6379773" TargetMode="External"/><Relationship Id="rId161" Type="http://schemas.openxmlformats.org/officeDocument/2006/relationships/hyperlink" Target="https://ficoforums.myfico.com/t5/General-Credit-Topics/Which-Report-Will-They-Pull-Part-2/td-p/6379773" TargetMode="External"/><Relationship Id="rId162" Type="http://schemas.openxmlformats.org/officeDocument/2006/relationships/hyperlink" Target="https://ficoforums.myfico.com/t5/General-Credit-Topics/Which-Report-Will-They-Pull-Part-2/td-p/6379773" TargetMode="External"/><Relationship Id="rId163" Type="http://schemas.openxmlformats.org/officeDocument/2006/relationships/hyperlink" Target="https://ficoforums.myfico.com/t5/General-Credit-Topics/Which-Report-Will-They-Pull-Part-2/td-p/6379773" TargetMode="External"/><Relationship Id="rId164" Type="http://schemas.openxmlformats.org/officeDocument/2006/relationships/hyperlink" Target="https://ficoforums.myfico.com/t5/General-Credit-Topics/Which-Report-Will-They-Pull-Part-2/td-p/6379773" TargetMode="External"/><Relationship Id="rId165" Type="http://schemas.openxmlformats.org/officeDocument/2006/relationships/hyperlink" Target="https://ficoforums.myfico.com/t5/General-Credit-Topics/Which-Report-Will-They-Pull-Part-2/td-p/6379773" TargetMode="External"/><Relationship Id="rId166" Type="http://schemas.openxmlformats.org/officeDocument/2006/relationships/hyperlink" Target="https://ficoforums.myfico.com/t5/General-Credit-Topics/Which-Report-Will-They-Pull-Part-2/td-p/6379773" TargetMode="External"/><Relationship Id="rId167" Type="http://schemas.openxmlformats.org/officeDocument/2006/relationships/hyperlink" Target="https://ficoforums.myfico.com/t5/General-Credit-Topics/Which-Report-Will-They-Pull-Part-2/td-p/6379773" TargetMode="External"/><Relationship Id="rId168" Type="http://schemas.openxmlformats.org/officeDocument/2006/relationships/hyperlink" Target="https://ficoforums.myfico.com/t5/General-Credit-Topics/Which-Report-Will-They-Pull-Part-2/td-p/6379773" TargetMode="External"/><Relationship Id="rId169" Type="http://schemas.openxmlformats.org/officeDocument/2006/relationships/hyperlink" Target="https://ficoforums.myfico.com/t5/General-Credit-Topics/Which-Report-Will-They-Pull-Part-2/td-p/6379773" TargetMode="External"/><Relationship Id="rId170" Type="http://schemas.openxmlformats.org/officeDocument/2006/relationships/hyperlink" Target="https://ficoforums.myfico.com/t5/General-Credit-Topics/Which-Report-Will-They-Pull-Part-2/td-p/6379773" TargetMode="External"/><Relationship Id="rId171" Type="http://schemas.openxmlformats.org/officeDocument/2006/relationships/hyperlink" Target="https://ficoforums.myfico.com/t5/General-Credit-Topics/Which-Report-Will-They-Pull-Part-2/td-p/6379773" TargetMode="External"/><Relationship Id="rId172" Type="http://schemas.openxmlformats.org/officeDocument/2006/relationships/hyperlink" Target="https://ficoforums.myfico.com/t5/General-Credit-Topics/Which-Report-Will-They-Pull-Part-2/td-p/6379773" TargetMode="External"/><Relationship Id="rId173" Type="http://schemas.openxmlformats.org/officeDocument/2006/relationships/hyperlink" Target="https://ficoforums.myfico.com/t5/General-Credit-Topics/Which-Report-Will-They-Pull-Part-2/td-p/6379773" TargetMode="External"/><Relationship Id="rId174" Type="http://schemas.openxmlformats.org/officeDocument/2006/relationships/hyperlink" Target="https://ficoforums.myfico.com/t5/General-Credit-Topics/Which-Report-Will-They-Pull-Part-2/td-p/6379773" TargetMode="External"/><Relationship Id="rId175" Type="http://schemas.openxmlformats.org/officeDocument/2006/relationships/hyperlink" Target="https://ficoforums.myfico.com/t5/General-Credit-Topics/Which-Report-Will-They-Pull-Part-2/td-p/6379773" TargetMode="External"/><Relationship Id="rId176" Type="http://schemas.openxmlformats.org/officeDocument/2006/relationships/hyperlink" Target="https://ficoforums.myfico.com/t5/General-Credit-Topics/Which-Report-Will-They-Pull-Part-2/td-p/6379773" TargetMode="External"/><Relationship Id="rId177" Type="http://schemas.openxmlformats.org/officeDocument/2006/relationships/hyperlink" Target="https://ficoforums.myfico.com/t5/General-Credit-Topics/Which-Report-Will-They-Pull-Part-2/td-p/6379773" TargetMode="External"/><Relationship Id="rId178" Type="http://schemas.openxmlformats.org/officeDocument/2006/relationships/hyperlink" Target="https://ficoforums.myfico.com/t5/General-Credit-Topics/Which-Report-Will-They-Pull-Part-2/td-p/6379773" TargetMode="External"/><Relationship Id="rId179" Type="http://schemas.openxmlformats.org/officeDocument/2006/relationships/hyperlink" Target="https://ficoforums.myfico.com/t5/General-Credit-Topics/Which-Report-Will-They-Pull-Part-2/td-p/6379773" TargetMode="External"/><Relationship Id="rId180" Type="http://schemas.openxmlformats.org/officeDocument/2006/relationships/hyperlink" Target="https://ficoforums.myfico.com/t5/General-Credit-Topics/Which-Report-Will-They-Pull-Part-2/td-p/6379773" TargetMode="External"/><Relationship Id="rId181" Type="http://schemas.openxmlformats.org/officeDocument/2006/relationships/hyperlink" Target="https://ficoforums.myfico.com/t5/General-Credit-Topics/Which-Report-Will-They-Pull-Part-2/td-p/6379773" TargetMode="External"/><Relationship Id="rId182" Type="http://schemas.openxmlformats.org/officeDocument/2006/relationships/hyperlink" Target="https://ficoforums.myfico.com/t5/General-Credit-Topics/Which-Report-Will-They-Pull-Part-2/td-p/6379773" TargetMode="External"/><Relationship Id="rId183" Type="http://schemas.openxmlformats.org/officeDocument/2006/relationships/hyperlink" Target="https://ficoforums.myfico.com/t5/General-Credit-Topics/Which-Report-Will-They-Pull-Part-2/td-p/6379773" TargetMode="External"/><Relationship Id="rId184" Type="http://schemas.openxmlformats.org/officeDocument/2006/relationships/hyperlink" Target="https://ficoforums.myfico.com/t5/General-Credit-Topics/Which-Report-Will-They-Pull-Part-2/td-p/6379773" TargetMode="External"/><Relationship Id="rId185" Type="http://schemas.openxmlformats.org/officeDocument/2006/relationships/hyperlink" Target="https://ficoforums.myfico.com/t5/General-Credit-Topics/Which-Report-Will-They-Pull-Part-2/td-p/6379773" TargetMode="External"/><Relationship Id="rId186" Type="http://schemas.openxmlformats.org/officeDocument/2006/relationships/hyperlink" Target="https://ficoforums.myfico.com/t5/General-Credit-Topics/Which-Report-Will-They-Pull-Part-2/td-p/6379773" TargetMode="External"/><Relationship Id="rId187" Type="http://schemas.openxmlformats.org/officeDocument/2006/relationships/hyperlink" Target="https://ficoforums.myfico.com/t5/General-Credit-Topics/Which-Report-Will-They-Pull-Part-2/td-p/6379773" TargetMode="External"/><Relationship Id="rId188" Type="http://schemas.openxmlformats.org/officeDocument/2006/relationships/hyperlink" Target="https://ficoforums.myfico.com/t5/General-Credit-Topics/Which-Report-Will-They-Pull-Part-2/td-p/6379773" TargetMode="External"/><Relationship Id="rId189" Type="http://schemas.openxmlformats.org/officeDocument/2006/relationships/hyperlink" Target="https://ficoforums.myfico.com/t5/General-Credit-Topics/Which-Report-Will-They-Pull-Part-2/td-p/6379773" TargetMode="External"/><Relationship Id="rId190" Type="http://schemas.openxmlformats.org/officeDocument/2006/relationships/hyperlink" Target="https://ficoforums.myfico.com/t5/General-Credit-Topics/Which-Report-Will-They-Pull-Part-2/td-p/6379773" TargetMode="External"/><Relationship Id="rId191" Type="http://schemas.openxmlformats.org/officeDocument/2006/relationships/hyperlink" Target="https://ficoforums.myfico.com/t5/General-Credit-Topics/Which-Report-Will-They-Pull-Part-2/td-p/6379773" TargetMode="External"/><Relationship Id="rId192" Type="http://schemas.openxmlformats.org/officeDocument/2006/relationships/hyperlink" Target="https://ficoforums.myfico.com/t5/General-Credit-Topics/Which-Report-Will-They-Pull-Part-2/td-p/6379773" TargetMode="External"/><Relationship Id="rId193" Type="http://schemas.openxmlformats.org/officeDocument/2006/relationships/hyperlink" Target="https://ficoforums.myfico.com/t5/General-Credit-Topics/Which-Report-Will-They-Pull-Part-2/td-p/6379773" TargetMode="External"/><Relationship Id="rId194" Type="http://schemas.openxmlformats.org/officeDocument/2006/relationships/hyperlink" Target="https://ficoforums.myfico.com/t5/General-Credit-Topics/Which-Report-Will-They-Pull-Part-2/td-p/6379773" TargetMode="External"/><Relationship Id="rId195" Type="http://schemas.openxmlformats.org/officeDocument/2006/relationships/hyperlink" Target="https://ficoforums.myfico.com/t5/General-Credit-Topics/Which-Report-Will-They-Pull-Part-2/td-p/6379773" TargetMode="External"/><Relationship Id="rId196" Type="http://schemas.openxmlformats.org/officeDocument/2006/relationships/hyperlink" Target="https://ficoforums.myfico.com/t5/General-Credit-Topics/Which-Report-Will-They-Pull-Part-2/td-p/6379773" TargetMode="External"/><Relationship Id="rId197" Type="http://schemas.openxmlformats.org/officeDocument/2006/relationships/hyperlink" Target="https://ficoforums.myfico.com/t5/General-Credit-Topics/Which-Report-Will-They-Pull-Part-2/td-p/6379773" TargetMode="External"/><Relationship Id="rId198" Type="http://schemas.openxmlformats.org/officeDocument/2006/relationships/hyperlink" Target="https://ficoforums.myfico.com/t5/General-Credit-Topics/Which-Report-Will-They-Pull-Part-2/td-p/6379773" TargetMode="External"/><Relationship Id="rId199" Type="http://schemas.openxmlformats.org/officeDocument/2006/relationships/hyperlink" Target="https://ficoforums.myfico.com/t5/General-Credit-Topics/Which-Report-Will-They-Pull-Part-2/td-p/6379773" TargetMode="External"/><Relationship Id="rId200" Type="http://schemas.openxmlformats.org/officeDocument/2006/relationships/hyperlink" Target="https://ficoforums.myfico.com/t5/General-Credit-Topics/Which-Report-Will-They-Pull-Part-2/td-p/6379773" TargetMode="External"/><Relationship Id="rId201" Type="http://schemas.openxmlformats.org/officeDocument/2006/relationships/hyperlink" Target="https://ficoforums.myfico.com/t5/General-Credit-Topics/Which-Report-Will-They-Pull-Part-2/td-p/6379773" TargetMode="External"/><Relationship Id="rId202" Type="http://schemas.openxmlformats.org/officeDocument/2006/relationships/hyperlink" Target="https://ficoforums.myfico.com/t5/General-Credit-Topics/Which-Report-Will-They-Pull-Part-2/td-p/6379773" TargetMode="External"/><Relationship Id="rId203" Type="http://schemas.openxmlformats.org/officeDocument/2006/relationships/hyperlink" Target="https://ficoforums.myfico.com/t5/General-Credit-Topics/Which-Report-Will-They-Pull-Part-2/td-p/6379773" TargetMode="External"/><Relationship Id="rId204" Type="http://schemas.openxmlformats.org/officeDocument/2006/relationships/hyperlink" Target="https://ficoforums.myfico.com/t5/General-Credit-Topics/Which-Report-Will-They-Pull-Part-2/td-p/6379773" TargetMode="External"/><Relationship Id="rId205" Type="http://schemas.openxmlformats.org/officeDocument/2006/relationships/hyperlink" Target="https://ficoforums.myfico.com/t5/General-Credit-Topics/Which-Report-Will-They-Pull-Part-2/td-p/6379773" TargetMode="External"/><Relationship Id="rId206" Type="http://schemas.openxmlformats.org/officeDocument/2006/relationships/hyperlink" Target="https://ficoforums.myfico.com/t5/General-Credit-Topics/Which-Report-Will-They-Pull-Part-2/td-p/6379773" TargetMode="External"/><Relationship Id="rId207" Type="http://schemas.openxmlformats.org/officeDocument/2006/relationships/hyperlink" Target="https://ficoforums.myfico.com/t5/General-Credit-Topics/Which-Report-Will-They-Pull-Part-2/td-p/6379773" TargetMode="External"/><Relationship Id="rId208" Type="http://schemas.openxmlformats.org/officeDocument/2006/relationships/hyperlink" Target="https://ficoforums.myfico.com/t5/General-Credit-Topics/Which-Report-Will-They-Pull-Part-2/td-p/6379773" TargetMode="External"/><Relationship Id="rId209" Type="http://schemas.openxmlformats.org/officeDocument/2006/relationships/hyperlink" Target="https://ficoforums.myfico.com/t5/General-Credit-Topics/Which-Report-Will-They-Pull-Part-2/td-p/6379773" TargetMode="External"/><Relationship Id="rId210" Type="http://schemas.openxmlformats.org/officeDocument/2006/relationships/hyperlink" Target="https://ficoforums.myfico.com/t5/General-Credit-Topics/Which-Report-Will-They-Pull-Part-2/td-p/6379773" TargetMode="External"/><Relationship Id="rId211" Type="http://schemas.openxmlformats.org/officeDocument/2006/relationships/hyperlink" Target="https://ficoforums.myfico.com/t5/General-Credit-Topics/Which-Report-Will-They-Pull-Part-2/td-p/6379773" TargetMode="External"/><Relationship Id="rId212" Type="http://schemas.openxmlformats.org/officeDocument/2006/relationships/hyperlink" Target="https://ficoforums.myfico.com/t5/General-Credit-Topics/Which-Report-Will-They-Pull-Part-2/td-p/6379773" TargetMode="External"/><Relationship Id="rId213" Type="http://schemas.openxmlformats.org/officeDocument/2006/relationships/hyperlink" Target="https://ficoforums.myfico.com/t5/General-Credit-Topics/Which-Report-Will-They-Pull-Part-2/td-p/6379773" TargetMode="External"/><Relationship Id="rId214" Type="http://schemas.openxmlformats.org/officeDocument/2006/relationships/hyperlink" Target="https://ficoforums.myfico.com/t5/General-Credit-Topics/Which-Report-Will-They-Pull-Part-2/td-p/6379773" TargetMode="External"/><Relationship Id="rId215" Type="http://schemas.openxmlformats.org/officeDocument/2006/relationships/hyperlink" Target="https://ficoforums.myfico.com/t5/General-Credit-Topics/Which-Report-Will-They-Pull-Part-2/td-p/6379773" TargetMode="External"/><Relationship Id="rId216" Type="http://schemas.openxmlformats.org/officeDocument/2006/relationships/hyperlink" Target="https://ficoforums.myfico.com/t5/General-Credit-Topics/Which-Report-Will-They-Pull-Part-2/td-p/6379773" TargetMode="External"/><Relationship Id="rId217" Type="http://schemas.openxmlformats.org/officeDocument/2006/relationships/hyperlink" Target="https://ficoforums.myfico.com/t5/General-Credit-Topics/Which-Report-Will-They-Pull-Part-2/td-p/6379773" TargetMode="External"/><Relationship Id="rId218" Type="http://schemas.openxmlformats.org/officeDocument/2006/relationships/hyperlink" Target="https://ficoforums.myfico.com/t5/General-Credit-Topics/Which-Report-Will-They-Pull-Part-2/td-p/6379773" TargetMode="External"/><Relationship Id="rId219" Type="http://schemas.openxmlformats.org/officeDocument/2006/relationships/hyperlink" Target="https://ficoforums.myfico.com/t5/General-Credit-Topics/Which-Report-Will-They-Pull-Part-2/td-p/6379773" TargetMode="External"/><Relationship Id="rId220" Type="http://schemas.openxmlformats.org/officeDocument/2006/relationships/hyperlink" Target="https://ficoforums.myfico.com/t5/General-Credit-Topics/Which-Report-Will-They-Pull-Part-2/td-p/6379773" TargetMode="External"/><Relationship Id="rId221" Type="http://schemas.openxmlformats.org/officeDocument/2006/relationships/hyperlink" Target="https://ficoforums.myfico.com/t5/General-Credit-Topics/Which-Report-Will-They-Pull-Part-2/td-p/6379773" TargetMode="External"/><Relationship Id="rId222" Type="http://schemas.openxmlformats.org/officeDocument/2006/relationships/hyperlink" Target="https://ficoforums.myfico.com/t5/General-Credit-Topics/Which-Report-Will-They-Pull-Part-2/td-p/6379773" TargetMode="External"/><Relationship Id="rId223" Type="http://schemas.openxmlformats.org/officeDocument/2006/relationships/hyperlink" Target="https://ficoforums.myfico.com/t5/General-Credit-Topics/Which-Report-Will-They-Pull-Part-2/td-p/6379773" TargetMode="External"/><Relationship Id="rId224" Type="http://schemas.openxmlformats.org/officeDocument/2006/relationships/hyperlink" Target="https://ficoforums.myfico.com/t5/General-Credit-Topics/Which-Report-Will-They-Pull-Part-2/td-p/6379773" TargetMode="External"/><Relationship Id="rId225" Type="http://schemas.openxmlformats.org/officeDocument/2006/relationships/hyperlink" Target="https://ficoforums.myfico.com/t5/General-Credit-Topics/Which-Report-Will-They-Pull-Part-2/td-p/6379773" TargetMode="External"/><Relationship Id="rId226" Type="http://schemas.openxmlformats.org/officeDocument/2006/relationships/hyperlink" Target="https://ficoforums.myfico.com/t5/General-Credit-Topics/Which-Report-Will-They-Pull-Part-2/td-p/6379773" TargetMode="External"/><Relationship Id="rId227" Type="http://schemas.openxmlformats.org/officeDocument/2006/relationships/hyperlink" Target="https://ficoforums.myfico.com/t5/General-Credit-Topics/Which-Report-Will-They-Pull-Part-2/td-p/6379773" TargetMode="External"/><Relationship Id="rId228" Type="http://schemas.openxmlformats.org/officeDocument/2006/relationships/hyperlink" Target="https://ficoforums.myfico.com/t5/General-Credit-Topics/Which-Report-Will-They-Pull-Part-2/td-p/6379773" TargetMode="External"/><Relationship Id="rId229" Type="http://schemas.openxmlformats.org/officeDocument/2006/relationships/hyperlink" Target="https://ficoforums.myfico.com/t5/General-Credit-Topics/Which-Report-Will-They-Pull-Part-2/td-p/6379773" TargetMode="External"/><Relationship Id="rId230" Type="http://schemas.openxmlformats.org/officeDocument/2006/relationships/hyperlink" Target="https://ficoforums.myfico.com/t5/General-Credit-Topics/Which-Report-Will-They-Pull-Part-2/td-p/6379773" TargetMode="External"/><Relationship Id="rId231" Type="http://schemas.openxmlformats.org/officeDocument/2006/relationships/hyperlink" Target="https://ficoforums.myfico.com/t5/General-Credit-Topics/Which-Report-Will-They-Pull-Part-2/td-p/6379773" TargetMode="External"/><Relationship Id="rId232" Type="http://schemas.openxmlformats.org/officeDocument/2006/relationships/hyperlink" Target="https://ficoforums.myfico.com/t5/General-Credit-Topics/Which-Report-Will-They-Pull-Part-2/td-p/6379773" TargetMode="External"/><Relationship Id="rId233" Type="http://schemas.openxmlformats.org/officeDocument/2006/relationships/hyperlink" Target="https://ficoforums.myfico.com/t5/General-Credit-Topics/Which-Report-Will-They-Pull-Part-2/td-p/6379773" TargetMode="External"/><Relationship Id="rId234" Type="http://schemas.openxmlformats.org/officeDocument/2006/relationships/hyperlink" Target="https://ficoforums.myfico.com/t5/General-Credit-Topics/Which-Report-Will-They-Pull-Part-2/td-p/6379773" TargetMode="External"/><Relationship Id="rId235" Type="http://schemas.openxmlformats.org/officeDocument/2006/relationships/hyperlink" Target="https://ficoforums.myfico.com/t5/General-Credit-Topics/Which-Report-Will-They-Pull-Part-2/td-p/6379773" TargetMode="External"/><Relationship Id="rId236" Type="http://schemas.openxmlformats.org/officeDocument/2006/relationships/hyperlink" Target="https://ficoforums.myfico.com/t5/General-Credit-Topics/Which-Report-Will-They-Pull-Part-2/td-p/6379773" TargetMode="External"/><Relationship Id="rId237" Type="http://schemas.openxmlformats.org/officeDocument/2006/relationships/hyperlink" Target="https://ficoforums.myfico.com/t5/General-Credit-Topics/Which-Report-Will-They-Pull-Part-2/td-p/6379773" TargetMode="External"/><Relationship Id="rId238" Type="http://schemas.openxmlformats.org/officeDocument/2006/relationships/hyperlink" Target="https://www.doctorofcredit.com/credit-bureau-citibank-pull/" TargetMode="External"/><Relationship Id="rId239" Type="http://schemas.openxmlformats.org/officeDocument/2006/relationships/hyperlink" Target="https://www.doctorofcredit.com/credit-bureau-citibank-pull/" TargetMode="External"/><Relationship Id="rId240" Type="http://schemas.openxmlformats.org/officeDocument/2006/relationships/hyperlink" Target="https://www.doctorofcredit.com/credit-bureau-citibank-pull/" TargetMode="External"/><Relationship Id="rId241" Type="http://schemas.openxmlformats.org/officeDocument/2006/relationships/hyperlink" Target="https://www.doctorofcredit.com/credit-bureau-citibank-pull/" TargetMode="External"/><Relationship Id="rId242" Type="http://schemas.openxmlformats.org/officeDocument/2006/relationships/hyperlink" Target="https://www.doctorofcredit.com/credit-bureau-citibank-pull/" TargetMode="External"/><Relationship Id="rId243" Type="http://schemas.openxmlformats.org/officeDocument/2006/relationships/hyperlink" Target="https://www.doctorofcredit.com/credit-bureau-citibank-pull/" TargetMode="External"/><Relationship Id="rId244" Type="http://schemas.openxmlformats.org/officeDocument/2006/relationships/hyperlink" Target="https://www.doctorofcredit.com/credit-bureau-citibank-pull/" TargetMode="External"/><Relationship Id="rId245" Type="http://schemas.openxmlformats.org/officeDocument/2006/relationships/hyperlink" Target="https://www.doctorofcredit.com/credit-bureau-citibank-pull/" TargetMode="External"/><Relationship Id="rId246" Type="http://schemas.openxmlformats.org/officeDocument/2006/relationships/hyperlink" Target="https://www.doctorofcredit.com/credit-bureau-citibank-pull/" TargetMode="External"/><Relationship Id="rId247" Type="http://schemas.openxmlformats.org/officeDocument/2006/relationships/hyperlink" Target="https://www.doctorofcredit.com/credit-bureau-citibank-pull/" TargetMode="External"/><Relationship Id="rId248" Type="http://schemas.openxmlformats.org/officeDocument/2006/relationships/hyperlink" Target="https://www.doctorofcredit.com/credit-bureau-citibank-pull/" TargetMode="External"/><Relationship Id="rId249" Type="http://schemas.openxmlformats.org/officeDocument/2006/relationships/hyperlink" Target="https://www.doctorofcredit.com/credit-bureau-citibank-pull/" TargetMode="External"/><Relationship Id="rId250" Type="http://schemas.openxmlformats.org/officeDocument/2006/relationships/hyperlink" Target="https://www.doctorofcredit.com/credit-bureau-citibank-pull/" TargetMode="External"/><Relationship Id="rId251" Type="http://schemas.openxmlformats.org/officeDocument/2006/relationships/hyperlink" Target="https://www.doctorofcredit.com/credit-bureau-citibank-pull/" TargetMode="External"/><Relationship Id="rId252" Type="http://schemas.openxmlformats.org/officeDocument/2006/relationships/hyperlink" Target="https://www.doctorofcredit.com/credit-bureau-citibank-pull/" TargetMode="External"/><Relationship Id="rId253" Type="http://schemas.openxmlformats.org/officeDocument/2006/relationships/hyperlink" Target="https://www.doctorofcredit.com/credit-bureau-citibank-pull/" TargetMode="External"/><Relationship Id="rId254" Type="http://schemas.openxmlformats.org/officeDocument/2006/relationships/hyperlink" Target="https://www.doctorofcredit.com/credit-bureau-citibank-pull/" TargetMode="External"/><Relationship Id="rId255" Type="http://schemas.openxmlformats.org/officeDocument/2006/relationships/hyperlink" Target="https://www.doctorofcredit.com/credit-bureau-citibank-pull/" TargetMode="External"/><Relationship Id="rId256" Type="http://schemas.openxmlformats.org/officeDocument/2006/relationships/hyperlink" Target="https://www.doctorofcredit.com/credit-bureau-citibank-pull/" TargetMode="External"/><Relationship Id="rId257" Type="http://schemas.openxmlformats.org/officeDocument/2006/relationships/hyperlink" Target="https://www.doctorofcredit.com/credit-bureau-citibank-pull/" TargetMode="External"/><Relationship Id="rId258" Type="http://schemas.openxmlformats.org/officeDocument/2006/relationships/hyperlink" Target="https://www.doctorofcredit.com/credit-bureau-citibank-pull/" TargetMode="External"/><Relationship Id="rId259" Type="http://schemas.openxmlformats.org/officeDocument/2006/relationships/hyperlink" Target="https://www.doctorofcredit.com/credit-bureau-citibank-pull/" TargetMode="External"/><Relationship Id="rId260" Type="http://schemas.openxmlformats.org/officeDocument/2006/relationships/hyperlink" Target="https://www.doctorofcredit.com/credit-bureau-citibank-pull/" TargetMode="External"/><Relationship Id="rId261" Type="http://schemas.openxmlformats.org/officeDocument/2006/relationships/hyperlink" Target="https://www.doctorofcredit.com/credit-bureau-citibank-pull/" TargetMode="External"/><Relationship Id="rId262" Type="http://schemas.openxmlformats.org/officeDocument/2006/relationships/hyperlink" Target="https://www.doctorofcredit.com/credit-bureau-citibank-pull/" TargetMode="External"/><Relationship Id="rId263" Type="http://schemas.openxmlformats.org/officeDocument/2006/relationships/hyperlink" Target="https://www.doctorofcredit.com/credit-bureau-citibank-pull/" TargetMode="External"/><Relationship Id="rId264" Type="http://schemas.openxmlformats.org/officeDocument/2006/relationships/hyperlink" Target="https://www.doctorofcredit.com/credit-bureau-citibank-pull/" TargetMode="External"/><Relationship Id="rId265" Type="http://schemas.openxmlformats.org/officeDocument/2006/relationships/hyperlink" Target="https://www.doctorofcredit.com/credit-bureau-citibank-pull/" TargetMode="External"/><Relationship Id="rId266" Type="http://schemas.openxmlformats.org/officeDocument/2006/relationships/hyperlink" Target="https://www.doctorofcredit.com/credit-bureau-citibank-pull/" TargetMode="External"/><Relationship Id="rId267" Type="http://schemas.openxmlformats.org/officeDocument/2006/relationships/hyperlink" Target="https://www.doctorofcredit.com/credit-bureau-citibank-pull/" TargetMode="External"/><Relationship Id="rId268" Type="http://schemas.openxmlformats.org/officeDocument/2006/relationships/hyperlink" Target="https://www.doctorofcredit.com/credit-bureau-citibank-pull/" TargetMode="External"/><Relationship Id="rId269" Type="http://schemas.openxmlformats.org/officeDocument/2006/relationships/hyperlink" Target="https://www.doctorofcredit.com/credit-bureau-citibank-pull/" TargetMode="External"/><Relationship Id="rId270" Type="http://schemas.openxmlformats.org/officeDocument/2006/relationships/hyperlink" Target="https://www.doctorofcredit.com/credit-bureau-citibank-pull/" TargetMode="External"/><Relationship Id="rId271" Type="http://schemas.openxmlformats.org/officeDocument/2006/relationships/hyperlink" Target="https://www.doctorofcredit.com/credit-bureau-citibank-pull/" TargetMode="External"/><Relationship Id="rId272" Type="http://schemas.openxmlformats.org/officeDocument/2006/relationships/hyperlink" Target="https://www.doctorofcredit.com/credit-bureau-citibank-pull/" TargetMode="External"/><Relationship Id="rId273" Type="http://schemas.openxmlformats.org/officeDocument/2006/relationships/hyperlink" Target="https://www.doctorofcredit.com/credit-bureau-citibank-pull/" TargetMode="External"/><Relationship Id="rId274" Type="http://schemas.openxmlformats.org/officeDocument/2006/relationships/hyperlink" Target="https://www.doctorofcredit.com/credit-bureau-citibank-pull/" TargetMode="External"/><Relationship Id="rId275" Type="http://schemas.openxmlformats.org/officeDocument/2006/relationships/hyperlink" Target="https://www.doctorofcredit.com/credit-bureau-citibank-pull/" TargetMode="External"/><Relationship Id="rId276" Type="http://schemas.openxmlformats.org/officeDocument/2006/relationships/hyperlink" Target="https://www.doctorofcredit.com/credit-bureau-citibank-pull/" TargetMode="External"/><Relationship Id="rId277" Type="http://schemas.openxmlformats.org/officeDocument/2006/relationships/hyperlink" Target="https://www.doctorofcredit.com/credit-bureau-citibank-pull/" TargetMode="External"/><Relationship Id="rId278" Type="http://schemas.openxmlformats.org/officeDocument/2006/relationships/hyperlink" Target="https://www.doctorofcredit.com/credit-bureau-citibank-pull/" TargetMode="External"/><Relationship Id="rId279" Type="http://schemas.openxmlformats.org/officeDocument/2006/relationships/hyperlink" Target="https://www.doctorofcredit.com/credit-bureau-citibank-pull/" TargetMode="External"/><Relationship Id="rId280" Type="http://schemas.openxmlformats.org/officeDocument/2006/relationships/hyperlink" Target="https://ficoforums.myfico.com/t5/General-Credit-Topics/Which-Report-Will-They-Pull-Part-2/td-p/6379773" TargetMode="External"/><Relationship Id="rId281" Type="http://schemas.openxmlformats.org/officeDocument/2006/relationships/hyperlink" Target="https://ficoforums.myfico.com/t5/General-Credit-Topics/Which-Report-Will-They-Pull-Part-2/td-p/6379773" TargetMode="External"/><Relationship Id="rId282" Type="http://schemas.openxmlformats.org/officeDocument/2006/relationships/hyperlink" Target="https://ficoforums.myfico.com/t5/General-Credit-Topics/Which-Report-Will-They-Pull-Part-2/td-p/6379773" TargetMode="External"/><Relationship Id="rId283" Type="http://schemas.openxmlformats.org/officeDocument/2006/relationships/hyperlink" Target="https://ficoforums.myfico.com/t5/General-Credit-Topics/Which-Report-Will-They-Pull-Part-2/td-p/6379773" TargetMode="External"/><Relationship Id="rId284" Type="http://schemas.openxmlformats.org/officeDocument/2006/relationships/hyperlink" Target="https://ficoforums.myfico.com/t5/General-Credit-Topics/Which-Report-Will-They-Pull-Part-2/td-p/6379773" TargetMode="External"/><Relationship Id="rId285" Type="http://schemas.openxmlformats.org/officeDocument/2006/relationships/hyperlink" Target="https://ficoforums.myfico.com/t5/General-Credit-Topics/Which-Report-Will-They-Pull-Part-2/td-p/6379773" TargetMode="External"/><Relationship Id="rId286" Type="http://schemas.openxmlformats.org/officeDocument/2006/relationships/hyperlink" Target="https://ficoforums.myfico.com/t5/General-Credit-Topics/Which-Report-Will-They-Pull-Part-2/td-p/6379773" TargetMode="External"/><Relationship Id="rId287" Type="http://schemas.openxmlformats.org/officeDocument/2006/relationships/hyperlink" Target="https://ficoforums.myfico.com/t5/General-Credit-Topics/Which-Report-Will-They-Pull-Part-2/td-p/6379773" TargetMode="External"/><Relationship Id="rId288" Type="http://schemas.openxmlformats.org/officeDocument/2006/relationships/hyperlink" Target="https://ficoforums.myfico.com/t5/General-Credit-Topics/Which-Report-Will-They-Pull-Part-2/td-p/6379773" TargetMode="External"/><Relationship Id="rId289" Type="http://schemas.openxmlformats.org/officeDocument/2006/relationships/hyperlink" Target="https://ficoforums.myfico.com/t5/General-Credit-Topics/Which-Report-Will-They-Pull-Part-2/td-p/6379773" TargetMode="External"/><Relationship Id="rId290" Type="http://schemas.openxmlformats.org/officeDocument/2006/relationships/hyperlink" Target="https://ficoforums.myfico.com/t5/General-Credit-Topics/Which-Report-Will-They-Pull-Part-2/td-p/6379773" TargetMode="External"/><Relationship Id="rId291" Type="http://schemas.openxmlformats.org/officeDocument/2006/relationships/hyperlink" Target="https://ficoforums.myfico.com/t5/General-Credit-Topics/Which-Report-Will-They-Pull-Part-2/td-p/6379773" TargetMode="External"/><Relationship Id="rId292" Type="http://schemas.openxmlformats.org/officeDocument/2006/relationships/hyperlink" Target="https://ficoforums.myfico.com/t5/General-Credit-Topics/Which-Report-Will-They-Pull-Part-2/td-p/6379773" TargetMode="External"/><Relationship Id="rId293" Type="http://schemas.openxmlformats.org/officeDocument/2006/relationships/hyperlink" Target="https://ficoforums.myfico.com/t5/General-Credit-Topics/Which-Report-Will-They-Pull-Part-2/td-p/6379773" TargetMode="External"/><Relationship Id="rId294" Type="http://schemas.openxmlformats.org/officeDocument/2006/relationships/hyperlink" Target="https://ficoforums.myfico.com/t5/General-Credit-Topics/Which-Report-Will-They-Pull-Part-2/td-p/6379773" TargetMode="External"/><Relationship Id="rId295" Type="http://schemas.openxmlformats.org/officeDocument/2006/relationships/hyperlink" Target="https://ficoforums.myfico.com/t5/General-Credit-Topics/Which-Report-Will-They-Pull-Part-2/td-p/6379773" TargetMode="External"/><Relationship Id="rId296" Type="http://schemas.openxmlformats.org/officeDocument/2006/relationships/hyperlink" Target="https://ficoforums.myfico.com/t5/General-Credit-Topics/Which-Report-Will-They-Pull-Part-2/td-p/6379773" TargetMode="External"/><Relationship Id="rId297" Type="http://schemas.openxmlformats.org/officeDocument/2006/relationships/hyperlink" Target="https://ficoforums.myfico.com/t5/General-Credit-Topics/Which-Report-Will-They-Pull-Part-2/td-p/6379773" TargetMode="External"/><Relationship Id="rId298" Type="http://schemas.openxmlformats.org/officeDocument/2006/relationships/hyperlink" Target="https://ficoforums.myfico.com/t5/General-Credit-Topics/Which-Report-Will-They-Pull-Part-2/td-p/6379773" TargetMode="External"/><Relationship Id="rId299" Type="http://schemas.openxmlformats.org/officeDocument/2006/relationships/hyperlink" Target="https://ficoforums.myfico.com/t5/General-Credit-Topics/Which-Report-Will-They-Pull-Part-2/td-p/6379773" TargetMode="External"/><Relationship Id="rId300" Type="http://schemas.openxmlformats.org/officeDocument/2006/relationships/hyperlink" Target="https://ficoforums.myfico.com/t5/General-Credit-Topics/Which-Report-Will-They-Pull-Part-2/td-p/6379773" TargetMode="External"/><Relationship Id="rId301" Type="http://schemas.openxmlformats.org/officeDocument/2006/relationships/hyperlink" Target="https://ficoforums.myfico.com/t5/General-Credit-Topics/Which-Report-Will-They-Pull-Part-2/td-p/6379773" TargetMode="External"/><Relationship Id="rId302" Type="http://schemas.openxmlformats.org/officeDocument/2006/relationships/hyperlink" Target="https://ficoforums.myfico.com/t5/General-Credit-Topics/Which-Report-Will-They-Pull-Part-2/td-p/6379773" TargetMode="External"/><Relationship Id="rId303" Type="http://schemas.openxmlformats.org/officeDocument/2006/relationships/hyperlink" Target="https://ficoforums.myfico.com/t5/General-Credit-Topics/Which-Report-Will-They-Pull-Part-2/td-p/6379773" TargetMode="External"/><Relationship Id="rId304" Type="http://schemas.openxmlformats.org/officeDocument/2006/relationships/hyperlink" Target="https://ficoforums.myfico.com/t5/General-Credit-Topics/Which-Report-Will-They-Pull-Part-2/td-p/6379773" TargetMode="External"/><Relationship Id="rId305" Type="http://schemas.openxmlformats.org/officeDocument/2006/relationships/hyperlink" Target="https://ficoforums.myfico.com/t5/General-Credit-Topics/Which-Report-Will-They-Pull-Part-2/td-p/6379773" TargetMode="External"/><Relationship Id="rId306" Type="http://schemas.openxmlformats.org/officeDocument/2006/relationships/hyperlink" Target="https://ficoforums.myfico.com/t5/General-Credit-Topics/Which-Report-Will-They-Pull-Part-2/td-p/6379773" TargetMode="External"/><Relationship Id="rId307" Type="http://schemas.openxmlformats.org/officeDocument/2006/relationships/hyperlink" Target="https://ficoforums.myfico.com/t5/General-Credit-Topics/Which-Report-Will-They-Pull-Part-2/td-p/6379773" TargetMode="External"/><Relationship Id="rId308" Type="http://schemas.openxmlformats.org/officeDocument/2006/relationships/hyperlink" Target="https://ficoforums.myfico.com/t5/General-Credit-Topics/Which-Report-Will-They-Pull-Part-2/td-p/6379773" TargetMode="External"/><Relationship Id="rId309" Type="http://schemas.openxmlformats.org/officeDocument/2006/relationships/hyperlink" Target="https://ficoforums.myfico.com/t5/General-Credit-Topics/Which-Report-Will-They-Pull-Part-2/td-p/6379773" TargetMode="External"/><Relationship Id="rId310" Type="http://schemas.openxmlformats.org/officeDocument/2006/relationships/hyperlink" Target="https://ficoforums.myfico.com/t5/General-Credit-Topics/Which-Report-Will-They-Pull-Part-2/td-p/6379773" TargetMode="External"/><Relationship Id="rId311" Type="http://schemas.openxmlformats.org/officeDocument/2006/relationships/hyperlink" Target="https://ficoforums.myfico.com/t5/General-Credit-Topics/Which-Report-Will-They-Pull-Part-2/td-p/6379773" TargetMode="External"/><Relationship Id="rId312" Type="http://schemas.openxmlformats.org/officeDocument/2006/relationships/hyperlink" Target="https://ficoforums.myfico.com/t5/General-Credit-Topics/Which-Report-Will-They-Pull-Part-2/td-p/6379773" TargetMode="External"/><Relationship Id="rId313" Type="http://schemas.openxmlformats.org/officeDocument/2006/relationships/hyperlink" Target="https://ficoforums.myfico.com/t5/General-Credit-Topics/Which-Report-Will-They-Pull-Part-2/td-p/6379773" TargetMode="External"/><Relationship Id="rId314" Type="http://schemas.openxmlformats.org/officeDocument/2006/relationships/hyperlink" Target="https://ficoforums.myfico.com/t5/General-Credit-Topics/Which-Report-Will-They-Pull-Part-2/td-p/6379773" TargetMode="External"/><Relationship Id="rId315" Type="http://schemas.openxmlformats.org/officeDocument/2006/relationships/hyperlink" Target="https://ficoforums.myfico.com/t5/General-Credit-Topics/Which-Report-Will-They-Pull-Part-2/td-p/6379773" TargetMode="External"/><Relationship Id="rId316" Type="http://schemas.openxmlformats.org/officeDocument/2006/relationships/hyperlink" Target="https://ficoforums.myfico.com/t5/General-Credit-Topics/Which-Report-Will-They-Pull-Part-2/td-p/6379773" TargetMode="External"/><Relationship Id="rId317" Type="http://schemas.openxmlformats.org/officeDocument/2006/relationships/hyperlink" Target="https://ficoforums.myfico.com/t5/General-Credit-Topics/Which-Report-Will-They-Pull-Part-2/td-p/6379773" TargetMode="External"/><Relationship Id="rId318" Type="http://schemas.openxmlformats.org/officeDocument/2006/relationships/hyperlink" Target="https://ficoforums.myfico.com/t5/General-Credit-Topics/Which-Report-Will-They-Pull-Part-2/td-p/6379773" TargetMode="External"/><Relationship Id="rId319" Type="http://schemas.openxmlformats.org/officeDocument/2006/relationships/hyperlink" Target="https://ficoforums.myfico.com/t5/General-Credit-Topics/Which-Report-Will-They-Pull-Part-2/td-p/6379773" TargetMode="External"/><Relationship Id="rId320" Type="http://schemas.openxmlformats.org/officeDocument/2006/relationships/hyperlink" Target="https://ficoforums.myfico.com/t5/General-Credit-Topics/Which-Report-Will-They-Pull-Part-2/td-p/6379773" TargetMode="External"/><Relationship Id="rId321" Type="http://schemas.openxmlformats.org/officeDocument/2006/relationships/hyperlink" Target="https://ficoforums.myfico.com/t5/General-Credit-Topics/Which-Report-Will-They-Pull-Part-2/td-p/6379773" TargetMode="External"/><Relationship Id="rId322" Type="http://schemas.openxmlformats.org/officeDocument/2006/relationships/hyperlink" Target="https://ficoforums.myfico.com/t5/General-Credit-Topics/Which-Report-Will-They-Pull-Part-2/td-p/6379773" TargetMode="External"/><Relationship Id="rId323" Type="http://schemas.openxmlformats.org/officeDocument/2006/relationships/hyperlink" Target="https://ficoforums.myfico.com/t5/General-Credit-Topics/Which-Report-Will-They-Pull-Part-2/td-p/6379773" TargetMode="External"/><Relationship Id="rId324" Type="http://schemas.openxmlformats.org/officeDocument/2006/relationships/hyperlink" Target="https://ficoforums.myfico.com/t5/General-Credit-Topics/Which-Report-Will-They-Pull-Part-2/td-p/6379773" TargetMode="External"/><Relationship Id="rId325" Type="http://schemas.openxmlformats.org/officeDocument/2006/relationships/hyperlink" Target="https://ficoforums.myfico.com/t5/General-Credit-Topics/Which-Report-Will-They-Pull-Part-2/td-p/6379773" TargetMode="External"/><Relationship Id="rId326" Type="http://schemas.openxmlformats.org/officeDocument/2006/relationships/hyperlink" Target="https://ficoforums.myfico.com/t5/General-Credit-Topics/Which-Report-Will-They-Pull-Part-2/td-p/6379773" TargetMode="External"/><Relationship Id="rId327" Type="http://schemas.openxmlformats.org/officeDocument/2006/relationships/hyperlink" Target="https://ficoforums.myfico.com/t5/General-Credit-Topics/Which-Report-Will-They-Pull-Part-2/td-p/6379773" TargetMode="External"/><Relationship Id="rId328" Type="http://schemas.openxmlformats.org/officeDocument/2006/relationships/hyperlink" Target="https://ficoforums.myfico.com/t5/General-Credit-Topics/Which-Report-Will-They-Pull-Part-2/td-p/6379773" TargetMode="External"/><Relationship Id="rId329" Type="http://schemas.openxmlformats.org/officeDocument/2006/relationships/hyperlink" Target="https://ficoforums.myfico.com/t5/General-Credit-Topics/Which-Report-Will-They-Pull-Part-2/td-p/6379773" TargetMode="External"/><Relationship Id="rId330" Type="http://schemas.openxmlformats.org/officeDocument/2006/relationships/hyperlink" Target="https://ficoforums.myfico.com/t5/General-Credit-Topics/Which-Report-Will-They-Pull-Part-2/td-p/6379773" TargetMode="External"/><Relationship Id="rId331" Type="http://schemas.openxmlformats.org/officeDocument/2006/relationships/hyperlink" Target="https://ficoforums.myfico.com/t5/General-Credit-Topics/Which-Report-Will-They-Pull-Part-2/td-p/6379773" TargetMode="External"/><Relationship Id="rId332" Type="http://schemas.openxmlformats.org/officeDocument/2006/relationships/hyperlink" Target="https://ficoforums.myfico.com/t5/General-Credit-Topics/Which-Report-Will-They-Pull-Part-2/td-p/6379773" TargetMode="External"/><Relationship Id="rId333" Type="http://schemas.openxmlformats.org/officeDocument/2006/relationships/hyperlink" Target="https://ficoforums.myfico.com/t5/General-Credit-Topics/Which-Report-Will-They-Pull-Part-2/td-p/6379773" TargetMode="External"/><Relationship Id="rId334" Type="http://schemas.openxmlformats.org/officeDocument/2006/relationships/hyperlink" Target="https://ficoforums.myfico.com/t5/General-Credit-Topics/Which-Report-Will-They-Pull-Part-2/td-p/6379773" TargetMode="External"/><Relationship Id="rId335" Type="http://schemas.openxmlformats.org/officeDocument/2006/relationships/hyperlink" Target="https://ficoforums.myfico.com/t5/General-Credit-Topics/Which-Report-Will-They-Pull-Part-2/td-p/6379773" TargetMode="External"/><Relationship Id="rId336" Type="http://schemas.openxmlformats.org/officeDocument/2006/relationships/hyperlink" Target="https://ficoforums.myfico.com/t5/General-Credit-Topics/Which-Report-Will-They-Pull-Part-2/td-p/6379773" TargetMode="External"/><Relationship Id="rId337" Type="http://schemas.openxmlformats.org/officeDocument/2006/relationships/hyperlink" Target="https://ficoforums.myfico.com/t5/General-Credit-Topics/Which-Report-Will-They-Pull-Part-2/td-p/6379773" TargetMode="External"/><Relationship Id="rId338" Type="http://schemas.openxmlformats.org/officeDocument/2006/relationships/hyperlink" Target="https://ficoforums.myfico.com/t5/General-Credit-Topics/Which-Report-Will-They-Pull-Part-2/td-p/6379773" TargetMode="External"/><Relationship Id="rId339" Type="http://schemas.openxmlformats.org/officeDocument/2006/relationships/hyperlink" Target="https://ficoforums.myfico.com/t5/General-Credit-Topics/Which-Report-Will-They-Pull-Part-2/td-p/6379773" TargetMode="External"/><Relationship Id="rId340" Type="http://schemas.openxmlformats.org/officeDocument/2006/relationships/hyperlink" Target="https://ficoforums.myfico.com/t5/General-Credit-Topics/Which-Report-Will-They-Pull-Part-2/td-p/6379773" TargetMode="External"/><Relationship Id="rId341" Type="http://schemas.openxmlformats.org/officeDocument/2006/relationships/hyperlink" Target="https://ficoforums.myfico.com/t5/General-Credit-Topics/Which-Report-Will-They-Pull-Part-2/td-p/6379773" TargetMode="External"/><Relationship Id="rId342" Type="http://schemas.openxmlformats.org/officeDocument/2006/relationships/hyperlink" Target="https://ficoforums.myfico.com/t5/General-Credit-Topics/Which-Report-Will-They-Pull-Part-2/td-p/6379773" TargetMode="External"/><Relationship Id="rId343" Type="http://schemas.openxmlformats.org/officeDocument/2006/relationships/hyperlink" Target="https://ficoforums.myfico.com/t5/General-Credit-Topics/Which-Report-Will-They-Pull-Part-2/td-p/6379773" TargetMode="External"/><Relationship Id="rId344" Type="http://schemas.openxmlformats.org/officeDocument/2006/relationships/hyperlink" Target="https://ficoforums.myfico.com/t5/General-Credit-Topics/Which-Report-Will-They-Pull-Part-2/td-p/6379773" TargetMode="External"/><Relationship Id="rId345" Type="http://schemas.openxmlformats.org/officeDocument/2006/relationships/hyperlink" Target="https://ficoforums.myfico.com/t5/General-Credit-Topics/Which-Report-Will-They-Pull-Part-2/td-p/6379773" TargetMode="External"/><Relationship Id="rId346" Type="http://schemas.openxmlformats.org/officeDocument/2006/relationships/hyperlink" Target="https://ficoforums.myfico.com/t5/General-Credit-Topics/Which-Report-Will-They-Pull-Part-2/td-p/6379773" TargetMode="External"/><Relationship Id="rId347" Type="http://schemas.openxmlformats.org/officeDocument/2006/relationships/hyperlink" Target="https://ficoforums.myfico.com/t5/General-Credit-Topics/Which-Report-Will-They-Pull-Part-2/td-p/6379773" TargetMode="External"/><Relationship Id="rId348" Type="http://schemas.openxmlformats.org/officeDocument/2006/relationships/hyperlink" Target="https://ficoforums.myfico.com/t5/General-Credit-Topics/Which-Report-Will-They-Pull-Part-2/td-p/6379773" TargetMode="External"/><Relationship Id="rId349" Type="http://schemas.openxmlformats.org/officeDocument/2006/relationships/hyperlink" Target="https://ficoforums.myfico.com/t5/General-Credit-Topics/Which-Report-Will-They-Pull-Part-2/td-p/6379773" TargetMode="External"/><Relationship Id="rId350" Type="http://schemas.openxmlformats.org/officeDocument/2006/relationships/hyperlink" Target="https://ficoforums.myfico.com/t5/General-Credit-Topics/Which-Report-Will-They-Pull-Part-2/td-p/6379773" TargetMode="External"/><Relationship Id="rId351" Type="http://schemas.openxmlformats.org/officeDocument/2006/relationships/hyperlink" Target="https://ficoforums.myfico.com/t5/General-Credit-Topics/Which-Report-Will-They-Pull-Part-2/td-p/6379773" TargetMode="External"/><Relationship Id="rId352" Type="http://schemas.openxmlformats.org/officeDocument/2006/relationships/hyperlink" Target="https://ficoforums.myfico.com/t5/General-Credit-Topics/Which-Report-Will-They-Pull-Part-2/td-p/6379773" TargetMode="External"/><Relationship Id="rId353" Type="http://schemas.openxmlformats.org/officeDocument/2006/relationships/hyperlink" Target="https://ficoforums.myfico.com/t5/General-Credit-Topics/Which-Report-Will-They-Pull-Part-2/td-p/6379773" TargetMode="External"/><Relationship Id="rId354" Type="http://schemas.openxmlformats.org/officeDocument/2006/relationships/hyperlink" Target="https://ficoforums.myfico.com/t5/General-Credit-Topics/Which-Report-Will-They-Pull-Part-2/td-p/6379773" TargetMode="External"/><Relationship Id="rId355" Type="http://schemas.openxmlformats.org/officeDocument/2006/relationships/hyperlink" Target="https://ficoforums.myfico.com/t5/General-Credit-Topics/Which-Report-Will-They-Pull-Part-2/td-p/6379773" TargetMode="External"/><Relationship Id="rId356" Type="http://schemas.openxmlformats.org/officeDocument/2006/relationships/hyperlink" Target="https://ficoforums.myfico.com/t5/General-Credit-Topics/Which-Report-Will-They-Pull-Part-2/td-p/6379773" TargetMode="External"/><Relationship Id="rId357" Type="http://schemas.openxmlformats.org/officeDocument/2006/relationships/hyperlink" Target="https://ficoforums.myfico.com/t5/General-Credit-Topics/Which-Report-Will-They-Pull-Part-2/td-p/6379773" TargetMode="External"/><Relationship Id="rId358" Type="http://schemas.openxmlformats.org/officeDocument/2006/relationships/hyperlink" Target="https://ficoforums.myfico.com/t5/General-Credit-Topics/Which-Report-Will-They-Pull-Part-2/td-p/6379773" TargetMode="External"/><Relationship Id="rId359" Type="http://schemas.openxmlformats.org/officeDocument/2006/relationships/hyperlink" Target="https://ficoforums.myfico.com/t5/General-Credit-Topics/Which-Report-Will-They-Pull-Part-2/td-p/6379773" TargetMode="External"/><Relationship Id="rId360" Type="http://schemas.openxmlformats.org/officeDocument/2006/relationships/hyperlink" Target="https://ficoforums.myfico.com/t5/General-Credit-Topics/Which-Report-Will-They-Pull-Part-2/td-p/6379773" TargetMode="External"/><Relationship Id="rId361" Type="http://schemas.openxmlformats.org/officeDocument/2006/relationships/hyperlink" Target="https://ficoforums.myfico.com/t5/General-Credit-Topics/Which-Report-Will-They-Pull-Part-2/td-p/6379773" TargetMode="External"/><Relationship Id="rId362" Type="http://schemas.openxmlformats.org/officeDocument/2006/relationships/hyperlink" Target="https://ficoforums.myfico.com/t5/General-Credit-Topics/Which-Report-Will-They-Pull-Part-2/td-p/6379773" TargetMode="External"/><Relationship Id="rId363" Type="http://schemas.openxmlformats.org/officeDocument/2006/relationships/hyperlink" Target="https://ficoforums.myfico.com/t5/General-Credit-Topics/Which-Report-Will-They-Pull-Part-2/td-p/6379773" TargetMode="External"/><Relationship Id="rId364" Type="http://schemas.openxmlformats.org/officeDocument/2006/relationships/hyperlink" Target="https://ficoforums.myfico.com/t5/General-Credit-Topics/Which-Report-Will-They-Pull-Part-2/td-p/6379773" TargetMode="External"/><Relationship Id="rId365" Type="http://schemas.openxmlformats.org/officeDocument/2006/relationships/hyperlink" Target="https://ficoforums.myfico.com/t5/General-Credit-Topics/Which-Report-Will-They-Pull-Part-2/td-p/6379773" TargetMode="External"/><Relationship Id="rId366" Type="http://schemas.openxmlformats.org/officeDocument/2006/relationships/hyperlink" Target="https://ficoforums.myfico.com/t5/General-Credit-Topics/Which-Report-Will-They-Pull-Part-2/td-p/6379773" TargetMode="External"/><Relationship Id="rId367" Type="http://schemas.openxmlformats.org/officeDocument/2006/relationships/hyperlink" Target="https://ficoforums.myfico.com/t5/General-Credit-Topics/Which-Report-Will-They-Pull-Part-2/td-p/6379773" TargetMode="External"/><Relationship Id="rId368" Type="http://schemas.openxmlformats.org/officeDocument/2006/relationships/hyperlink" Target="https://ficoforums.myfico.com/t5/General-Credit-Topics/Which-Report-Will-They-Pull-Part-2/td-p/6379773" TargetMode="External"/><Relationship Id="rId369" Type="http://schemas.openxmlformats.org/officeDocument/2006/relationships/hyperlink" Target="https://ficoforums.myfico.com/t5/General-Credit-Topics/Which-Report-Will-They-Pull-Part-2/td-p/6379773" TargetMode="External"/><Relationship Id="rId370" Type="http://schemas.openxmlformats.org/officeDocument/2006/relationships/hyperlink" Target="https://ficoforums.myfico.com/t5/General-Credit-Topics/Which-Report-Will-They-Pull-Part-2/td-p/6379773" TargetMode="External"/><Relationship Id="rId371" Type="http://schemas.openxmlformats.org/officeDocument/2006/relationships/hyperlink" Target="https://ficoforums.myfico.com/t5/General-Credit-Topics/Which-Report-Will-They-Pull-Part-2/td-p/6379773" TargetMode="External"/><Relationship Id="rId372" Type="http://schemas.openxmlformats.org/officeDocument/2006/relationships/hyperlink" Target="https://ficoforums.myfico.com/t5/General-Credit-Topics/Which-Report-Will-They-Pull-Part-2/td-p/6379773" TargetMode="External"/><Relationship Id="rId373" Type="http://schemas.openxmlformats.org/officeDocument/2006/relationships/hyperlink" Target="https://ficoforums.myfico.com/t5/General-Credit-Topics/Which-Report-Will-They-Pull-Part-2/td-p/6379773" TargetMode="External"/><Relationship Id="rId374" Type="http://schemas.openxmlformats.org/officeDocument/2006/relationships/hyperlink" Target="https://ficoforums.myfico.com/t5/General-Credit-Topics/Which-Report-Will-They-Pull-Part-2/td-p/6379773" TargetMode="External"/><Relationship Id="rId375" Type="http://schemas.openxmlformats.org/officeDocument/2006/relationships/hyperlink" Target="https://ficoforums.myfico.com/t5/General-Credit-Topics/Which-Report-Will-They-Pull-Part-2/td-p/6379773" TargetMode="External"/><Relationship Id="rId376" Type="http://schemas.openxmlformats.org/officeDocument/2006/relationships/hyperlink" Target="https://ficoforums.myfico.com/t5/General-Credit-Topics/Which-Report-Will-They-Pull-Part-2/td-p/6379773" TargetMode="External"/><Relationship Id="rId377" Type="http://schemas.openxmlformats.org/officeDocument/2006/relationships/hyperlink" Target="https://ficoforums.myfico.com/t5/General-Credit-Topics/Which-Report-Will-They-Pull-Part-2/td-p/6379773" TargetMode="External"/><Relationship Id="rId378" Type="http://schemas.openxmlformats.org/officeDocument/2006/relationships/hyperlink" Target="https://ficoforums.myfico.com/t5/General-Credit-Topics/Which-Report-Will-They-Pull-Part-2/td-p/6379773" TargetMode="External"/><Relationship Id="rId379" Type="http://schemas.openxmlformats.org/officeDocument/2006/relationships/hyperlink" Target="https://ficoforums.myfico.com/t5/General-Credit-Topics/Which-Report-Will-They-Pull-Part-2/td-p/6379773" TargetMode="External"/><Relationship Id="rId380" Type="http://schemas.openxmlformats.org/officeDocument/2006/relationships/hyperlink" Target="https://ficoforums.myfico.com/t5/General-Credit-Topics/Which-Report-Will-They-Pull-Part-2/td-p/6379773" TargetMode="External"/><Relationship Id="rId381" Type="http://schemas.openxmlformats.org/officeDocument/2006/relationships/hyperlink" Target="https://ficoforums.myfico.com/t5/General-Credit-Topics/Which-Report-Will-They-Pull-Part-2/td-p/6379773" TargetMode="External"/><Relationship Id="rId382" Type="http://schemas.openxmlformats.org/officeDocument/2006/relationships/hyperlink" Target="https://ficoforums.myfico.com/t5/General-Credit-Topics/Which-Report-Will-They-Pull-Part-2/td-p/6379773" TargetMode="External"/><Relationship Id="rId383" Type="http://schemas.openxmlformats.org/officeDocument/2006/relationships/hyperlink" Target="https://ficoforums.myfico.com/t5/General-Credit-Topics/Which-Report-Will-They-Pull-Part-2/td-p/6379773" TargetMode="External"/><Relationship Id="rId384" Type="http://schemas.openxmlformats.org/officeDocument/2006/relationships/hyperlink" Target="https://ficoforums.myfico.com/t5/General-Credit-Topics/Which-Report-Will-They-Pull-Part-2/td-p/6379773" TargetMode="External"/><Relationship Id="rId385" Type="http://schemas.openxmlformats.org/officeDocument/2006/relationships/hyperlink" Target="https://ficoforums.myfico.com/t5/General-Credit-Topics/Which-Report-Will-They-Pull-Part-2/td-p/6379773" TargetMode="External"/><Relationship Id="rId386" Type="http://schemas.openxmlformats.org/officeDocument/2006/relationships/hyperlink" Target="https://ficoforums.myfico.com/t5/General-Credit-Topics/Which-Report-Will-They-Pull-Part-2/td-p/6379773" TargetMode="External"/><Relationship Id="rId387" Type="http://schemas.openxmlformats.org/officeDocument/2006/relationships/hyperlink" Target="https://ficoforums.myfico.com/t5/General-Credit-Topics/Which-Report-Will-They-Pull-Part-2/td-p/6379773" TargetMode="External"/><Relationship Id="rId388" Type="http://schemas.openxmlformats.org/officeDocument/2006/relationships/hyperlink" Target="https://ficoforums.myfico.com/t5/General-Credit-Topics/Which-Report-Will-They-Pull-Part-2/td-p/6379773" TargetMode="External"/><Relationship Id="rId389" Type="http://schemas.openxmlformats.org/officeDocument/2006/relationships/hyperlink" Target="https://ficoforums.myfico.com/t5/General-Credit-Topics/Which-Report-Will-They-Pull-Part-2/td-p/6379773" TargetMode="External"/><Relationship Id="rId390" Type="http://schemas.openxmlformats.org/officeDocument/2006/relationships/hyperlink" Target="https://ficoforums.myfico.com/t5/General-Credit-Topics/Which-Report-Will-They-Pull-Part-2/td-p/6379773" TargetMode="External"/><Relationship Id="rId391" Type="http://schemas.openxmlformats.org/officeDocument/2006/relationships/hyperlink" Target="https://ficoforums.myfico.com/t5/General-Credit-Topics/Which-Report-Will-They-Pull-Part-2/td-p/6379773" TargetMode="External"/><Relationship Id="rId392" Type="http://schemas.openxmlformats.org/officeDocument/2006/relationships/hyperlink" Target="https://ficoforums.myfico.com/t5/General-Credit-Topics/Which-Report-Will-They-Pull-Part-2/td-p/6379773" TargetMode="External"/><Relationship Id="rId393" Type="http://schemas.openxmlformats.org/officeDocument/2006/relationships/hyperlink" Target="https://ficoforums.myfico.com/t5/General-Credit-Topics/Which-Report-Will-They-Pull-Part-2/td-p/6379773" TargetMode="External"/><Relationship Id="rId394" Type="http://schemas.openxmlformats.org/officeDocument/2006/relationships/hyperlink" Target="https://ficoforums.myfico.com/t5/General-Credit-Topics/Which-Report-Will-They-Pull-Part-2/td-p/6379773" TargetMode="External"/><Relationship Id="rId395" Type="http://schemas.openxmlformats.org/officeDocument/2006/relationships/hyperlink" Target="https://ficoforums.myfico.com/t5/General-Credit-Topics/Which-Report-Will-They-Pull-Part-2/td-p/6379773" TargetMode="External"/><Relationship Id="rId396" Type="http://schemas.openxmlformats.org/officeDocument/2006/relationships/hyperlink" Target="https://ficoforums.myfico.com/t5/General-Credit-Topics/Which-Report-Will-They-Pull-Part-2/td-p/6379773" TargetMode="External"/><Relationship Id="rId397" Type="http://schemas.openxmlformats.org/officeDocument/2006/relationships/hyperlink" Target="https://ficoforums.myfico.com/t5/General-Credit-Topics/Which-Report-Will-They-Pull-Part-2/td-p/6379773" TargetMode="External"/><Relationship Id="rId398" Type="http://schemas.openxmlformats.org/officeDocument/2006/relationships/hyperlink" Target="https://ficoforums.myfico.com/t5/General-Credit-Topics/Which-Report-Will-They-Pull-Part-2/td-p/6379773" TargetMode="External"/><Relationship Id="rId399" Type="http://schemas.openxmlformats.org/officeDocument/2006/relationships/hyperlink" Target="https://ficoforums.myfico.com/t5/General-Credit-Topics/Which-Report-Will-They-Pull-Part-2/td-p/6379773" TargetMode="External"/><Relationship Id="rId400" Type="http://schemas.openxmlformats.org/officeDocument/2006/relationships/hyperlink" Target="https://ficoforums.myfico.com/t5/General-Credit-Topics/Which-Report-Will-They-Pull-Part-2/td-p/6379773" TargetMode="External"/><Relationship Id="rId401" Type="http://schemas.openxmlformats.org/officeDocument/2006/relationships/hyperlink" Target="https://ficoforums.myfico.com/t5/General-Credit-Topics/Which-Report-Will-They-Pull-Part-2/td-p/6379773" TargetMode="External"/><Relationship Id="rId402" Type="http://schemas.openxmlformats.org/officeDocument/2006/relationships/hyperlink" Target="https://www.doctorofcredit.com/knowledge-base/which-credit-bureau-does-chase-pull" TargetMode="External"/><Relationship Id="rId403" Type="http://schemas.openxmlformats.org/officeDocument/2006/relationships/hyperlink" Target="https://www.doctorofcredit.com/knowledge-base/which-credit-bureau-does-chase-pull" TargetMode="External"/><Relationship Id="rId404" Type="http://schemas.openxmlformats.org/officeDocument/2006/relationships/hyperlink" Target="https://www.doctorofcredit.com/knowledge-base/which-credit-bureau-does-chase-pull" TargetMode="External"/><Relationship Id="rId405" Type="http://schemas.openxmlformats.org/officeDocument/2006/relationships/hyperlink" Target="https://www.doctorofcredit.com/knowledge-base/which-credit-bureau-does-chase-pull" TargetMode="External"/><Relationship Id="rId406" Type="http://schemas.openxmlformats.org/officeDocument/2006/relationships/hyperlink" Target="https://www.doctorofcredit.com/knowledge-base/which-credit-bureau-does-chase-pull" TargetMode="External"/><Relationship Id="rId407" Type="http://schemas.openxmlformats.org/officeDocument/2006/relationships/hyperlink" Target="https://www.doctorofcredit.com/knowledge-base/which-credit-bureau-does-chase-pull" TargetMode="External"/><Relationship Id="rId408" Type="http://schemas.openxmlformats.org/officeDocument/2006/relationships/hyperlink" Target="https://www.doctorofcredit.com/knowledge-base/which-credit-bureau-does-chase-pull" TargetMode="External"/><Relationship Id="rId409" Type="http://schemas.openxmlformats.org/officeDocument/2006/relationships/hyperlink" Target="https://www.doctorofcredit.com/knowledge-base/which-credit-bureau-does-chase-pull" TargetMode="External"/><Relationship Id="rId410" Type="http://schemas.openxmlformats.org/officeDocument/2006/relationships/hyperlink" Target="https://www.doctorofcredit.com/knowledge-base/which-credit-bureau-does-chase-pull" TargetMode="External"/><Relationship Id="rId411" Type="http://schemas.openxmlformats.org/officeDocument/2006/relationships/hyperlink" Target="https://www.doctorofcredit.com/knowledge-base/which-credit-bureau-does-chase-pull" TargetMode="External"/><Relationship Id="rId412" Type="http://schemas.openxmlformats.org/officeDocument/2006/relationships/hyperlink" Target="https://www.doctorofcredit.com/knowledge-base/which-credit-bureau-does-chase-pull" TargetMode="External"/><Relationship Id="rId413" Type="http://schemas.openxmlformats.org/officeDocument/2006/relationships/hyperlink" Target="https://www.doctorofcredit.com/knowledge-base/which-credit-bureau-does-chase-pull" TargetMode="External"/><Relationship Id="rId414" Type="http://schemas.openxmlformats.org/officeDocument/2006/relationships/hyperlink" Target="https://www.doctorofcredit.com/knowledge-base/which-credit-bureau-does-chase-pull" TargetMode="External"/><Relationship Id="rId415" Type="http://schemas.openxmlformats.org/officeDocument/2006/relationships/hyperlink" Target="https://www.doctorofcredit.com/knowledge-base/which-credit-bureau-does-chase-pull" TargetMode="External"/><Relationship Id="rId416" Type="http://schemas.openxmlformats.org/officeDocument/2006/relationships/hyperlink" Target="https://www.doctorofcredit.com/knowledge-base/which-credit-bureau-does-chase-pull" TargetMode="External"/><Relationship Id="rId417" Type="http://schemas.openxmlformats.org/officeDocument/2006/relationships/hyperlink" Target="https://www.doctorofcredit.com/knowledge-base/which-credit-bureau-does-chase-pull" TargetMode="External"/><Relationship Id="rId418" Type="http://schemas.openxmlformats.org/officeDocument/2006/relationships/hyperlink" Target="https://www.doctorofcredit.com/knowledge-base/which-credit-bureau-does-chase-pull" TargetMode="External"/><Relationship Id="rId419" Type="http://schemas.openxmlformats.org/officeDocument/2006/relationships/hyperlink" Target="https://www.doctorofcredit.com/knowledge-base/which-credit-bureau-does-chase-pull" TargetMode="External"/><Relationship Id="rId420" Type="http://schemas.openxmlformats.org/officeDocument/2006/relationships/hyperlink" Target="https://www.doctorofcredit.com/knowledge-base/which-credit-bureau-does-chase-pull" TargetMode="External"/><Relationship Id="rId421" Type="http://schemas.openxmlformats.org/officeDocument/2006/relationships/hyperlink" Target="https://www.doctorofcredit.com/knowledge-base/which-credit-bureau-does-chase-pull" TargetMode="External"/><Relationship Id="rId422" Type="http://schemas.openxmlformats.org/officeDocument/2006/relationships/hyperlink" Target="https://www.doctorofcredit.com/knowledge-base/which-credit-bureau-does-chase-pull" TargetMode="External"/><Relationship Id="rId423" Type="http://schemas.openxmlformats.org/officeDocument/2006/relationships/hyperlink" Target="https://www.doctorofcredit.com/knowledge-base/which-credit-bureau-does-chase-pull" TargetMode="External"/><Relationship Id="rId424" Type="http://schemas.openxmlformats.org/officeDocument/2006/relationships/hyperlink" Target="https://www.doctorofcredit.com/knowledge-base/which-credit-bureau-does-chase-pull" TargetMode="External"/><Relationship Id="rId425" Type="http://schemas.openxmlformats.org/officeDocument/2006/relationships/hyperlink" Target="https://www.doctorofcredit.com/knowledge-base/which-credit-bureau-does-chase-pull" TargetMode="External"/><Relationship Id="rId426" Type="http://schemas.openxmlformats.org/officeDocument/2006/relationships/hyperlink" Target="https://www.doctorofcredit.com/knowledge-base/which-credit-bureau-does-chase-pull" TargetMode="External"/><Relationship Id="rId427" Type="http://schemas.openxmlformats.org/officeDocument/2006/relationships/hyperlink" Target="https://www.doctorofcredit.com/knowledge-base/which-credit-bureau-does-chase-pull" TargetMode="External"/><Relationship Id="rId428" Type="http://schemas.openxmlformats.org/officeDocument/2006/relationships/hyperlink" Target="https://www.doctorofcredit.com/knowledge-base/which-credit-bureau-does-chase-pull" TargetMode="External"/><Relationship Id="rId429" Type="http://schemas.openxmlformats.org/officeDocument/2006/relationships/hyperlink" Target="https://www.doctorofcredit.com/knowledge-base/which-credit-bureau-does-chase-pull" TargetMode="External"/><Relationship Id="rId430" Type="http://schemas.openxmlformats.org/officeDocument/2006/relationships/hyperlink" Target="https://www.doctorofcredit.com/knowledge-base/which-credit-bureau-does-chase-pull" TargetMode="External"/><Relationship Id="rId431" Type="http://schemas.openxmlformats.org/officeDocument/2006/relationships/hyperlink" Target="https://www.doctorofcredit.com/knowledge-base/which-credit-bureau-does-chase-pull" TargetMode="External"/><Relationship Id="rId432" Type="http://schemas.openxmlformats.org/officeDocument/2006/relationships/hyperlink" Target="https://www.doctorofcredit.com/knowledge-base/which-credit-bureau-does-chase-pull" TargetMode="External"/><Relationship Id="rId433" Type="http://schemas.openxmlformats.org/officeDocument/2006/relationships/hyperlink" Target="https://www.doctorofcredit.com/knowledge-base/which-credit-bureau-does-chase-pull" TargetMode="External"/><Relationship Id="rId434" Type="http://schemas.openxmlformats.org/officeDocument/2006/relationships/hyperlink" Target="https://www.doctorofcredit.com/knowledge-base/which-credit-bureau-does-chase-pull" TargetMode="External"/><Relationship Id="rId435" Type="http://schemas.openxmlformats.org/officeDocument/2006/relationships/hyperlink" Target="https://www.doctorofcredit.com/knowledge-base/which-credit-bureau-does-chase-pull" TargetMode="External"/><Relationship Id="rId436" Type="http://schemas.openxmlformats.org/officeDocument/2006/relationships/hyperlink" Target="https://www.doctorofcredit.com/knowledge-base/which-credit-bureau-does-chase-pull" TargetMode="External"/><Relationship Id="rId437" Type="http://schemas.openxmlformats.org/officeDocument/2006/relationships/hyperlink" Target="https://www.doctorofcredit.com/knowledge-base/which-credit-bureau-does-chase-pull" TargetMode="External"/><Relationship Id="rId438" Type="http://schemas.openxmlformats.org/officeDocument/2006/relationships/hyperlink" Target="https://www.doctorofcredit.com/knowledge-base/which-credit-bureau-does-chase-pull" TargetMode="External"/><Relationship Id="rId439" Type="http://schemas.openxmlformats.org/officeDocument/2006/relationships/hyperlink" Target="https://www.doctorofcredit.com/knowledge-base/which-credit-bureau-does-chase-pull" TargetMode="External"/><Relationship Id="rId440" Type="http://schemas.openxmlformats.org/officeDocument/2006/relationships/hyperlink" Target="https://www.doctorofcredit.com/knowledge-base/which-credit-bureau-does-chase-pull" TargetMode="External"/><Relationship Id="rId441" Type="http://schemas.openxmlformats.org/officeDocument/2006/relationships/hyperlink" Target="https://www.doctorofcredit.com/knowledge-base/which-credit-bureau-does-chase-pull" TargetMode="External"/><Relationship Id="rId442" Type="http://schemas.openxmlformats.org/officeDocument/2006/relationships/hyperlink" Target="https://www.doctorofcredit.com/knowledge-base/which-credit-bureau-does-chase-pull" TargetMode="External"/><Relationship Id="rId443" Type="http://schemas.openxmlformats.org/officeDocument/2006/relationships/hyperlink" Target="https://www.doctorofcredit.com/knowledge-base/which-credit-bureau-does-chase-pull" TargetMode="External"/><Relationship Id="rId444" Type="http://schemas.openxmlformats.org/officeDocument/2006/relationships/hyperlink" Target="https://www.doctorofcredit.com/knowledge-base/which-credit-bureau-does-chase-pull" TargetMode="External"/><Relationship Id="rId445" Type="http://schemas.openxmlformats.org/officeDocument/2006/relationships/hyperlink" Target="https://ficoforums.myfico.com/t5/General-Credit-Topics/Which-Report-Will-They-Pull-Part-2/td-p/6379773" TargetMode="External"/><Relationship Id="rId446" Type="http://schemas.openxmlformats.org/officeDocument/2006/relationships/hyperlink" Target="https://ficoforums.myfico.com/t5/General-Credit-Topics/Which-Report-Will-They-Pull-Part-2/td-p/6379773" TargetMode="External"/><Relationship Id="rId447" Type="http://schemas.openxmlformats.org/officeDocument/2006/relationships/hyperlink" Target="https://ficoforums.myfico.com/t5/General-Credit-Topics/Which-Report-Will-They-Pull-Part-2/td-p/6379773" TargetMode="External"/><Relationship Id="rId448" Type="http://schemas.openxmlformats.org/officeDocument/2006/relationships/hyperlink" Target="https://ficoforums.myfico.com/t5/General-Credit-Topics/Which-Report-Will-They-Pull-Part-2/td-p/6379773" TargetMode="External"/><Relationship Id="rId449" Type="http://schemas.openxmlformats.org/officeDocument/2006/relationships/hyperlink" Target="https://ficoforums.myfico.com/t5/General-Credit-Topics/Which-Report-Will-They-Pull-Part-2/td-p/6379773" TargetMode="External"/><Relationship Id="rId450" Type="http://schemas.openxmlformats.org/officeDocument/2006/relationships/hyperlink" Target="https://ficoforums.myfico.com/t5/General-Credit-Topics/Which-Report-Will-They-Pull-Part-2/td-p/6379773" TargetMode="External"/><Relationship Id="rId451" Type="http://schemas.openxmlformats.org/officeDocument/2006/relationships/hyperlink" Target="https://ficoforums.myfico.com/t5/General-Credit-Topics/Which-Report-Will-They-Pull-Part-2/td-p/6379773" TargetMode="External"/><Relationship Id="rId452" Type="http://schemas.openxmlformats.org/officeDocument/2006/relationships/hyperlink" Target="https://ficoforums.myfico.com/t5/General-Credit-Topics/Which-Report-Will-They-Pull-Part-2/td-p/6379773" TargetMode="External"/><Relationship Id="rId453" Type="http://schemas.openxmlformats.org/officeDocument/2006/relationships/hyperlink" Target="https://ficoforums.myfico.com/t5/General-Credit-Topics/Which-Report-Will-They-Pull-Part-2/td-p/6379773" TargetMode="External"/><Relationship Id="rId454" Type="http://schemas.openxmlformats.org/officeDocument/2006/relationships/hyperlink" Target="https://ficoforums.myfico.com/t5/General-Credit-Topics/Which-Report-Will-They-Pull-Part-2/td-p/6379773" TargetMode="External"/><Relationship Id="rId455" Type="http://schemas.openxmlformats.org/officeDocument/2006/relationships/hyperlink" Target="https://ficoforums.myfico.com/t5/General-Credit-Topics/Which-Report-Will-They-Pull-Part-2/td-p/6379773" TargetMode="External"/><Relationship Id="rId456" Type="http://schemas.openxmlformats.org/officeDocument/2006/relationships/hyperlink" Target="https://ficoforums.myfico.com/t5/General-Credit-Topics/Which-Report-Will-They-Pull-Part-2/td-p/6379773" TargetMode="External"/><Relationship Id="rId457" Type="http://schemas.openxmlformats.org/officeDocument/2006/relationships/hyperlink" Target="https://ficoforums.myfico.com/t5/General-Credit-Topics/Which-Report-Will-They-Pull-Part-2/td-p/6379773" TargetMode="External"/><Relationship Id="rId458" Type="http://schemas.openxmlformats.org/officeDocument/2006/relationships/hyperlink" Target="https://ficoforums.myfico.com/t5/General-Credit-Topics/Which-Report-Will-They-Pull-Part-2/td-p/6379773" TargetMode="External"/><Relationship Id="rId459" Type="http://schemas.openxmlformats.org/officeDocument/2006/relationships/hyperlink" Target="https://ficoforums.myfico.com/t5/General-Credit-Topics/Which-Report-Will-They-Pull-Part-2/td-p/6379773" TargetMode="External"/><Relationship Id="rId460" Type="http://schemas.openxmlformats.org/officeDocument/2006/relationships/hyperlink" Target="https://ficoforums.myfico.com/t5/General-Credit-Topics/Which-Report-Will-They-Pull-Part-2/td-p/6379773" TargetMode="External"/><Relationship Id="rId461" Type="http://schemas.openxmlformats.org/officeDocument/2006/relationships/hyperlink" Target="https://ficoforums.myfico.com/t5/General-Credit-Topics/Which-Report-Will-They-Pull-Part-2/td-p/6379773" TargetMode="External"/><Relationship Id="rId462" Type="http://schemas.openxmlformats.org/officeDocument/2006/relationships/hyperlink" Target="https://ficoforums.myfico.com/t5/General-Credit-Topics/Which-Report-Will-They-Pull-Part-2/td-p/6379773" TargetMode="External"/><Relationship Id="rId463" Type="http://schemas.openxmlformats.org/officeDocument/2006/relationships/hyperlink" Target="https://ficoforums.myfico.com/t5/General-Credit-Topics/Which-Report-Will-They-Pull-Part-2/td-p/6379773" TargetMode="External"/><Relationship Id="rId464" Type="http://schemas.openxmlformats.org/officeDocument/2006/relationships/hyperlink" Target="https://ficoforums.myfico.com/t5/General-Credit-Topics/Which-Report-Will-They-Pull-Part-2/td-p/6379773" TargetMode="External"/><Relationship Id="rId465" Type="http://schemas.openxmlformats.org/officeDocument/2006/relationships/hyperlink" Target="https://ficoforums.myfico.com/t5/General-Credit-Topics/Which-Report-Will-They-Pull-Part-2/td-p/6379773" TargetMode="External"/><Relationship Id="rId466" Type="http://schemas.openxmlformats.org/officeDocument/2006/relationships/hyperlink" Target="https://ficoforums.myfico.com/t5/General-Credit-Topics/Which-Report-Will-They-Pull-Part-2/td-p/6379773" TargetMode="External"/><Relationship Id="rId467" Type="http://schemas.openxmlformats.org/officeDocument/2006/relationships/hyperlink" Target="https://ficoforums.myfico.com/t5/General-Credit-Topics/Which-Report-Will-They-Pull-Part-2/td-p/6379773" TargetMode="External"/><Relationship Id="rId468" Type="http://schemas.openxmlformats.org/officeDocument/2006/relationships/hyperlink" Target="https://ficoforums.myfico.com/t5/General-Credit-Topics/Which-Report-Will-They-Pull-Part-2/td-p/6379773" TargetMode="External"/><Relationship Id="rId469" Type="http://schemas.openxmlformats.org/officeDocument/2006/relationships/hyperlink" Target="https://ficoforums.myfico.com/t5/General-Credit-Topics/Which-Report-Will-They-Pull-Part-2/td-p/6379773" TargetMode="External"/><Relationship Id="rId470" Type="http://schemas.openxmlformats.org/officeDocument/2006/relationships/hyperlink" Target="https://ficoforums.myfico.com/t5/General-Credit-Topics/Which-Report-Will-They-Pull-Part-2/td-p/6379773" TargetMode="External"/><Relationship Id="rId471" Type="http://schemas.openxmlformats.org/officeDocument/2006/relationships/hyperlink" Target="https://ficoforums.myfico.com/t5/General-Credit-Topics/Which-Report-Will-They-Pull-Part-2/td-p/6379773" TargetMode="External"/><Relationship Id="rId472" Type="http://schemas.openxmlformats.org/officeDocument/2006/relationships/hyperlink" Target="https://ficoforums.myfico.com/t5/General-Credit-Topics/Which-Report-Will-They-Pull-Part-2/td-p/6379773" TargetMode="External"/><Relationship Id="rId473" Type="http://schemas.openxmlformats.org/officeDocument/2006/relationships/hyperlink" Target="https://ficoforums.myfico.com/t5/General-Credit-Topics/Which-Report-Will-They-Pull-Part-2/td-p/6379773" TargetMode="External"/><Relationship Id="rId474" Type="http://schemas.openxmlformats.org/officeDocument/2006/relationships/hyperlink" Target="https://ficoforums.myfico.com/t5/General-Credit-Topics/Which-Report-Will-They-Pull-Part-2/td-p/6379773" TargetMode="External"/><Relationship Id="rId475" Type="http://schemas.openxmlformats.org/officeDocument/2006/relationships/hyperlink" Target="https://ficoforums.myfico.com/t5/General-Credit-Topics/Which-Report-Will-They-Pull-Part-2/td-p/6379773" TargetMode="External"/><Relationship Id="rId476" Type="http://schemas.openxmlformats.org/officeDocument/2006/relationships/hyperlink" Target="https://ficoforums.myfico.com/t5/General-Credit-Topics/Which-Report-Will-They-Pull-Part-2/td-p/6379773" TargetMode="External"/><Relationship Id="rId477" Type="http://schemas.openxmlformats.org/officeDocument/2006/relationships/hyperlink" Target="https://ficoforums.myfico.com/t5/General-Credit-Topics/Which-Report-Will-They-Pull-Part-2/td-p/6379773" TargetMode="External"/><Relationship Id="rId478" Type="http://schemas.openxmlformats.org/officeDocument/2006/relationships/hyperlink" Target="https://ficoforums.myfico.com/t5/General-Credit-Topics/Which-Report-Will-They-Pull-Part-2/td-p/6379773" TargetMode="External"/><Relationship Id="rId479" Type="http://schemas.openxmlformats.org/officeDocument/2006/relationships/hyperlink" Target="https://ficoforums.myfico.com/t5/General-Credit-Topics/Which-Report-Will-They-Pull-Part-2/td-p/6379773" TargetMode="External"/><Relationship Id="rId480" Type="http://schemas.openxmlformats.org/officeDocument/2006/relationships/hyperlink" Target="https://ficoforums.myfico.com/t5/General-Credit-Topics/Which-Report-Will-They-Pull-Part-2/td-p/6379773" TargetMode="External"/><Relationship Id="rId481" Type="http://schemas.openxmlformats.org/officeDocument/2006/relationships/hyperlink" Target="https://ficoforums.myfico.com/t5/General-Credit-Topics/Which-Report-Will-They-Pull-Part-2/td-p/6379773" TargetMode="External"/><Relationship Id="rId482" Type="http://schemas.openxmlformats.org/officeDocument/2006/relationships/hyperlink" Target="https://ficoforums.myfico.com/t5/General-Credit-Topics/Which-Report-Will-They-Pull-Part-2/td-p/6379773" TargetMode="External"/><Relationship Id="rId483" Type="http://schemas.openxmlformats.org/officeDocument/2006/relationships/hyperlink" Target="https://ficoforums.myfico.com/t5/General-Credit-Topics/Which-Report-Will-They-Pull-Part-2/td-p/6379773" TargetMode="External"/><Relationship Id="rId484" Type="http://schemas.openxmlformats.org/officeDocument/2006/relationships/hyperlink" Target="https://ficoforums.myfico.com/t5/General-Credit-Topics/Which-Report-Will-They-Pull-Part-2/td-p/6379773" TargetMode="External"/><Relationship Id="rId485" Type="http://schemas.openxmlformats.org/officeDocument/2006/relationships/hyperlink" Target="https://ficoforums.myfico.com/t5/General-Credit-Topics/Which-Report-Will-They-Pull-Part-2/td-p/6379773" TargetMode="External"/><Relationship Id="rId486" Type="http://schemas.openxmlformats.org/officeDocument/2006/relationships/hyperlink" Target="https://ficoforums.myfico.com/t5/General-Credit-Topics/Which-Report-Will-They-Pull-Part-2/td-p/6379773" TargetMode="External"/><Relationship Id="rId487" Type="http://schemas.openxmlformats.org/officeDocument/2006/relationships/hyperlink" Target="https://ficoforums.myfico.com/t5/General-Credit-Topics/Which-Report-Will-They-Pull-Part-2/td-p/6379773" TargetMode="External"/><Relationship Id="rId488" Type="http://schemas.openxmlformats.org/officeDocument/2006/relationships/hyperlink" Target="https://ficoforums.myfico.com/t5/General-Credit-Topics/Which-Report-Will-They-Pull-Part-2/td-p/6379773" TargetMode="External"/><Relationship Id="rId489" Type="http://schemas.openxmlformats.org/officeDocument/2006/relationships/hyperlink" Target="https://ficoforums.myfico.com/t5/General-Credit-Topics/Which-Report-Will-They-Pull-Part-2/td-p/6379773" TargetMode="External"/><Relationship Id="rId490" Type="http://schemas.openxmlformats.org/officeDocument/2006/relationships/hyperlink" Target="https://ficoforums.myfico.com/t5/General-Credit-Topics/Which-Report-Will-They-Pull-Part-2/td-p/6379773" TargetMode="External"/><Relationship Id="rId491" Type="http://schemas.openxmlformats.org/officeDocument/2006/relationships/hyperlink" Target="https://ficoforums.myfico.com/t5/General-Credit-Topics/Which-Report-Will-They-Pull-Part-2/td-p/6379773" TargetMode="External"/><Relationship Id="rId492" Type="http://schemas.openxmlformats.org/officeDocument/2006/relationships/hyperlink" Target="https://ficoforums.myfico.com/t5/General-Credit-Topics/Which-Report-Will-They-Pull-Part-2/td-p/6379773" TargetMode="External"/><Relationship Id="rId493" Type="http://schemas.openxmlformats.org/officeDocument/2006/relationships/hyperlink" Target="https://ficoforums.myfico.com/t5/General-Credit-Topics/Which-Report-Will-They-Pull-Part-2/td-p/6379773" TargetMode="External"/><Relationship Id="rId494" Type="http://schemas.openxmlformats.org/officeDocument/2006/relationships/hyperlink" Target="https://ficoforums.myfico.com/t5/General-Credit-Topics/Which-Report-Will-They-Pull-Part-2/td-p/6379773" TargetMode="External"/><Relationship Id="rId495" Type="http://schemas.openxmlformats.org/officeDocument/2006/relationships/hyperlink" Target="https://ficoforums.myfico.com/t5/General-Credit-Topics/Which-Report-Will-They-Pull-Part-2/td-p/6379773" TargetMode="External"/><Relationship Id="rId496" Type="http://schemas.openxmlformats.org/officeDocument/2006/relationships/hyperlink" Target="https://ficoforums.myfico.com/t5/General-Credit-Topics/Which-Report-Will-They-Pull-Part-2/td-p/6379773" TargetMode="External"/><Relationship Id="rId497" Type="http://schemas.openxmlformats.org/officeDocument/2006/relationships/hyperlink" Target="https://ficoforums.myfico.com/t5/General-Credit-Topics/Which-Report-Will-They-Pull-Part-2/td-p/6379773" TargetMode="External"/><Relationship Id="rId498" Type="http://schemas.openxmlformats.org/officeDocument/2006/relationships/hyperlink" Target="https://ficoforums.myfico.com/t5/General-Credit-Topics/Which-Report-Will-They-Pull-Part-2/td-p/6379773" TargetMode="External"/><Relationship Id="rId499" Type="http://schemas.openxmlformats.org/officeDocument/2006/relationships/hyperlink" Target="https://ficoforums.myfico.com/t5/General-Credit-Topics/Which-Report-Will-They-Pull-Part-2/td-p/6379773" TargetMode="External"/><Relationship Id="rId500" Type="http://schemas.openxmlformats.org/officeDocument/2006/relationships/hyperlink" Target="https://ficoforums.myfico.com/t5/General-Credit-Topics/Which-Report-Will-They-Pull-Part-2/td-p/6379773" TargetMode="External"/><Relationship Id="rId501" Type="http://schemas.openxmlformats.org/officeDocument/2006/relationships/hyperlink" Target="https://ficoforums.myfico.com/t5/General-Credit-Topics/Which-Report-Will-They-Pull-Part-2/td-p/6379773" TargetMode="External"/><Relationship Id="rId502" Type="http://schemas.openxmlformats.org/officeDocument/2006/relationships/hyperlink" Target="https://ficoforums.myfico.com/t5/General-Credit-Topics/Which-Report-Will-They-Pull-Part-2/td-p/6379773" TargetMode="External"/><Relationship Id="rId503" Type="http://schemas.openxmlformats.org/officeDocument/2006/relationships/hyperlink" Target="https://ficoforums.myfico.com/t5/General-Credit-Topics/Which-Report-Will-They-Pull-Part-2/td-p/6379773" TargetMode="External"/><Relationship Id="rId504" Type="http://schemas.openxmlformats.org/officeDocument/2006/relationships/hyperlink" Target="https://ficoforums.myfico.com/t5/General-Credit-Topics/Which-Report-Will-They-Pull-Part-2/td-p/6379773" TargetMode="External"/><Relationship Id="rId505" Type="http://schemas.openxmlformats.org/officeDocument/2006/relationships/hyperlink" Target="https://ficoforums.myfico.com/t5/General-Credit-Topics/Which-Report-Will-They-Pull-Part-2/td-p/6379773" TargetMode="External"/><Relationship Id="rId506" Type="http://schemas.openxmlformats.org/officeDocument/2006/relationships/hyperlink" Target="https://ficoforums.myfico.com/t5/General-Credit-Topics/Which-Report-Will-They-Pull-Part-2/td-p/6379773" TargetMode="External"/><Relationship Id="rId507" Type="http://schemas.openxmlformats.org/officeDocument/2006/relationships/hyperlink" Target="https://ficoforums.myfico.com/t5/General-Credit-Topics/Which-Report-Will-They-Pull-Part-2/td-p/6379773" TargetMode="External"/><Relationship Id="rId508" Type="http://schemas.openxmlformats.org/officeDocument/2006/relationships/hyperlink" Target="https://ficoforums.myfico.com/t5/General-Credit-Topics/Which-Report-Will-They-Pull-Part-2/td-p/6379773" TargetMode="External"/><Relationship Id="rId509" Type="http://schemas.openxmlformats.org/officeDocument/2006/relationships/hyperlink" Target="https://ficoforums.myfico.com/t5/General-Credit-Topics/Which-Report-Will-They-Pull-Part-2/td-p/6379773" TargetMode="External"/><Relationship Id="rId510" Type="http://schemas.openxmlformats.org/officeDocument/2006/relationships/hyperlink" Target="https://ficoforums.myfico.com/t5/General-Credit-Topics/Which-Report-Will-They-Pull-Part-2/td-p/6379773" TargetMode="External"/><Relationship Id="rId511" Type="http://schemas.openxmlformats.org/officeDocument/2006/relationships/hyperlink" Target="https://ficoforums.myfico.com/t5/General-Credit-Topics/Which-Report-Will-They-Pull-Part-2/td-p/6379773" TargetMode="External"/><Relationship Id="rId512" Type="http://schemas.openxmlformats.org/officeDocument/2006/relationships/hyperlink" Target="https://ficoforums.myfico.com/t5/General-Credit-Topics/Which-Report-Will-They-Pull-Part-2/td-p/6379773" TargetMode="External"/><Relationship Id="rId513" Type="http://schemas.openxmlformats.org/officeDocument/2006/relationships/hyperlink" Target="https://ficoforums.myfico.com/t5/General-Credit-Topics/Which-Report-Will-They-Pull-Part-2/td-p/6379773" TargetMode="External"/><Relationship Id="rId514" Type="http://schemas.openxmlformats.org/officeDocument/2006/relationships/hyperlink" Target="https://ficoforums.myfico.com/t5/General-Credit-Topics/Which-Report-Will-They-Pull-Part-2/td-p/6379773" TargetMode="External"/><Relationship Id="rId515" Type="http://schemas.openxmlformats.org/officeDocument/2006/relationships/hyperlink" Target="https://ficoforums.myfico.com/t5/General-Credit-Topics/Which-Report-Will-They-Pull-Part-2/td-p/6379773" TargetMode="External"/><Relationship Id="rId516" Type="http://schemas.openxmlformats.org/officeDocument/2006/relationships/hyperlink" Target="https://ficoforums.myfico.com/t5/General-Credit-Topics/Which-Report-Will-They-Pull-Part-2/td-p/6379773" TargetMode="External"/><Relationship Id="rId517" Type="http://schemas.openxmlformats.org/officeDocument/2006/relationships/hyperlink" Target="https://ficoforums.myfico.com/t5/General-Credit-Topics/Which-Report-Will-They-Pull-Part-2/td-p/6379773" TargetMode="External"/><Relationship Id="rId518" Type="http://schemas.openxmlformats.org/officeDocument/2006/relationships/hyperlink" Target="https://ficoforums.myfico.com/t5/General-Credit-Topics/Which-Report-Will-They-Pull-Part-2/td-p/6379773" TargetMode="External"/><Relationship Id="rId519" Type="http://schemas.openxmlformats.org/officeDocument/2006/relationships/hyperlink" Target="https://ficoforums.myfico.com/t5/General-Credit-Topics/Which-Report-Will-They-Pull-Part-2/td-p/6379773" TargetMode="External"/><Relationship Id="rId520" Type="http://schemas.openxmlformats.org/officeDocument/2006/relationships/hyperlink" Target="https://ficoforums.myfico.com/t5/General-Credit-Topics/Which-Report-Will-They-Pull-Part-2/td-p/6379773" TargetMode="External"/><Relationship Id="rId521" Type="http://schemas.openxmlformats.org/officeDocument/2006/relationships/hyperlink" Target="https://ficoforums.myfico.com/t5/General-Credit-Topics/Which-Report-Will-They-Pull-Part-2/td-p/6379773" TargetMode="External"/><Relationship Id="rId522" Type="http://schemas.openxmlformats.org/officeDocument/2006/relationships/hyperlink" Target="https://ficoforums.myfico.com/t5/General-Credit-Topics/Which-Report-Will-They-Pull-Part-2/td-p/6379773" TargetMode="External"/><Relationship Id="rId523" Type="http://schemas.openxmlformats.org/officeDocument/2006/relationships/hyperlink" Target="https://ficoforums.myfico.com/t5/General-Credit-Topics/Which-Report-Will-They-Pull-Part-2/td-p/6379773" TargetMode="External"/><Relationship Id="rId524" Type="http://schemas.openxmlformats.org/officeDocument/2006/relationships/hyperlink" Target="https://ficoforums.myfico.com/t5/General-Credit-Topics/Which-Report-Will-They-Pull-Part-2/td-p/6379773" TargetMode="External"/><Relationship Id="rId525" Type="http://schemas.openxmlformats.org/officeDocument/2006/relationships/hyperlink" Target="https://ficoforums.myfico.com/t5/General-Credit-Topics/Which-Report-Will-They-Pull-Part-2/td-p/6379773" TargetMode="External"/><Relationship Id="rId526" Type="http://schemas.openxmlformats.org/officeDocument/2006/relationships/hyperlink" Target="https://ficoforums.myfico.com/t5/General-Credit-Topics/Which-Report-Will-They-Pull-Part-2/td-p/6379773" TargetMode="External"/><Relationship Id="rId527" Type="http://schemas.openxmlformats.org/officeDocument/2006/relationships/hyperlink" Target="https://ficoforums.myfico.com/t5/General-Credit-Topics/Which-Report-Will-They-Pull-Part-2/td-p/6379773" TargetMode="External"/><Relationship Id="rId528" Type="http://schemas.openxmlformats.org/officeDocument/2006/relationships/hyperlink" Target="https://ficoforums.myfico.com/t5/General-Credit-Topics/Which-Report-Will-They-Pull-Part-2/td-p/6379773" TargetMode="External"/><Relationship Id="rId529" Type="http://schemas.openxmlformats.org/officeDocument/2006/relationships/hyperlink" Target="https://ficoforums.myfico.com/t5/General-Credit-Topics/Which-Report-Will-They-Pull-Part-2/td-p/6379773" TargetMode="External"/><Relationship Id="rId530" Type="http://schemas.openxmlformats.org/officeDocument/2006/relationships/hyperlink" Target="https://ficoforums.myfico.com/t5/General-Credit-Topics/Which-Report-Will-They-Pull-Part-2/td-p/6379773" TargetMode="External"/><Relationship Id="rId531" Type="http://schemas.openxmlformats.org/officeDocument/2006/relationships/hyperlink" Target="https://ficoforums.myfico.com/t5/General-Credit-Topics/Which-Report-Will-They-Pull-Part-2/td-p/6379773" TargetMode="External"/><Relationship Id="rId532" Type="http://schemas.openxmlformats.org/officeDocument/2006/relationships/hyperlink" Target="https://ficoforums.myfico.com/t5/General-Credit-Topics/Which-Report-Will-They-Pull-Part-2/td-p/6379773" TargetMode="External"/><Relationship Id="rId533" Type="http://schemas.openxmlformats.org/officeDocument/2006/relationships/hyperlink" Target="https://ficoforums.myfico.com/t5/General-Credit-Topics/Which-Report-Will-They-Pull-Part-2/td-p/6379773" TargetMode="External"/><Relationship Id="rId534" Type="http://schemas.openxmlformats.org/officeDocument/2006/relationships/hyperlink" Target="https://ficoforums.myfico.com/t5/General-Credit-Topics/Which-Report-Will-They-Pull-Part-2/td-p/6379773" TargetMode="External"/><Relationship Id="rId535" Type="http://schemas.openxmlformats.org/officeDocument/2006/relationships/hyperlink" Target="https://ficoforums.myfico.com/t5/General-Credit-Topics/Which-Report-Will-They-Pull-Part-2/td-p/6379773" TargetMode="External"/><Relationship Id="rId536" Type="http://schemas.openxmlformats.org/officeDocument/2006/relationships/hyperlink" Target="https://ficoforums.myfico.com/t5/General-Credit-Topics/Which-Report-Will-They-Pull-Part-2/td-p/6379773" TargetMode="External"/><Relationship Id="rId537" Type="http://schemas.openxmlformats.org/officeDocument/2006/relationships/hyperlink" Target="https://ficoforums.myfico.com/t5/General-Credit-Topics/Which-Report-Will-They-Pull-Part-2/td-p/6379773" TargetMode="External"/><Relationship Id="rId538" Type="http://schemas.openxmlformats.org/officeDocument/2006/relationships/hyperlink" Target="https://ficoforums.myfico.com/t5/General-Credit-Topics/Which-Report-Will-They-Pull-Part-2/td-p/6379773" TargetMode="External"/><Relationship Id="rId539" Type="http://schemas.openxmlformats.org/officeDocument/2006/relationships/hyperlink" Target="https://ficoforums.myfico.com/t5/General-Credit-Topics/Which-Report-Will-They-Pull-Part-2/td-p/6379773" TargetMode="External"/><Relationship Id="rId540" Type="http://schemas.openxmlformats.org/officeDocument/2006/relationships/hyperlink" Target="https://ficoforums.myfico.com/t5/General-Credit-Topics/Which-Report-Will-They-Pull-Part-2/td-p/6379773" TargetMode="External"/><Relationship Id="rId541" Type="http://schemas.openxmlformats.org/officeDocument/2006/relationships/hyperlink" Target="https://ficoforums.myfico.com/t5/General-Credit-Topics/Which-Report-Will-They-Pull-Part-2/td-p/6379773" TargetMode="External"/><Relationship Id="rId542" Type="http://schemas.openxmlformats.org/officeDocument/2006/relationships/hyperlink" Target="https://ficoforums.myfico.com/t5/General-Credit-Topics/Which-Report-Will-They-Pull-Part-2/td-p/6379773" TargetMode="External"/><Relationship Id="rId543" Type="http://schemas.openxmlformats.org/officeDocument/2006/relationships/hyperlink" Target="https://ficoforums.myfico.com/t5/General-Credit-Topics/Which-Report-Will-They-Pull-Part-2/td-p/6379773" TargetMode="External"/><Relationship Id="rId544" Type="http://schemas.openxmlformats.org/officeDocument/2006/relationships/hyperlink" Target="https://ficoforums.myfico.com/t5/General-Credit-Topics/Which-Report-Will-They-Pull-Part-2/td-p/6379773" TargetMode="External"/><Relationship Id="rId545" Type="http://schemas.openxmlformats.org/officeDocument/2006/relationships/hyperlink" Target="https://ficoforums.myfico.com/t5/General-Credit-Topics/Which-Report-Will-They-Pull-Part-2/td-p/6379773" TargetMode="External"/><Relationship Id="rId546" Type="http://schemas.openxmlformats.org/officeDocument/2006/relationships/hyperlink" Target="https://ficoforums.myfico.com/t5/General-Credit-Topics/Which-Report-Will-They-Pull-Part-2/td-p/6379773" TargetMode="External"/><Relationship Id="rId547" Type="http://schemas.openxmlformats.org/officeDocument/2006/relationships/hyperlink" Target="https://ficoforums.myfico.com/t5/General-Credit-Topics/Which-Report-Will-They-Pull-Part-2/td-p/6379773" TargetMode="External"/><Relationship Id="rId548" Type="http://schemas.openxmlformats.org/officeDocument/2006/relationships/hyperlink" Target="https://ficoforums.myfico.com/t5/General-Credit-Topics/Which-Report-Will-They-Pull-Part-2/td-p/6379773" TargetMode="External"/><Relationship Id="rId549" Type="http://schemas.openxmlformats.org/officeDocument/2006/relationships/hyperlink" Target="https://ficoforums.myfico.com/t5/General-Credit-Topics/Which-Report-Will-They-Pull-Part-2/td-p/6379773" TargetMode="External"/><Relationship Id="rId550" Type="http://schemas.openxmlformats.org/officeDocument/2006/relationships/hyperlink" Target="https://ficoforums.myfico.com/t5/General-Credit-Topics/Which-Report-Will-They-Pull-Part-2/td-p/6379773" TargetMode="External"/><Relationship Id="rId551" Type="http://schemas.openxmlformats.org/officeDocument/2006/relationships/hyperlink" Target="https://ficoforums.myfico.com/t5/General-Credit-Topics/Which-Report-Will-They-Pull-Part-2/td-p/6379773" TargetMode="External"/><Relationship Id="rId552" Type="http://schemas.openxmlformats.org/officeDocument/2006/relationships/hyperlink" Target="https://ficoforums.myfico.com/t5/General-Credit-Topics/Which-Report-Will-They-Pull-Part-2/td-p/6379773" TargetMode="External"/><Relationship Id="rId553" Type="http://schemas.openxmlformats.org/officeDocument/2006/relationships/hyperlink" Target="https://ficoforums.myfico.com/t5/General-Credit-Topics/Which-Report-Will-They-Pull-Part-2/td-p/6379773" TargetMode="External"/><Relationship Id="rId554" Type="http://schemas.openxmlformats.org/officeDocument/2006/relationships/hyperlink" Target="https://ficoforums.myfico.com/t5/General-Credit-Topics/Which-Report-Will-They-Pull-Part-2/td-p/6379773" TargetMode="External"/><Relationship Id="rId555" Type="http://schemas.openxmlformats.org/officeDocument/2006/relationships/hyperlink" Target="https://ficoforums.myfico.com/t5/General-Credit-Topics/Which-Report-Will-They-Pull-Part-2/td-p/6379773" TargetMode="External"/><Relationship Id="rId556" Type="http://schemas.openxmlformats.org/officeDocument/2006/relationships/hyperlink" Target="https://ficoforums.myfico.com/t5/General-Credit-Topics/Which-Report-Will-They-Pull-Part-2/td-p/6379773" TargetMode="External"/><Relationship Id="rId557" Type="http://schemas.openxmlformats.org/officeDocument/2006/relationships/hyperlink" Target="https://ficoforums.myfico.com/t5/General-Credit-Topics/Which-Report-Will-They-Pull-Part-2/td-p/6379773" TargetMode="External"/><Relationship Id="rId558" Type="http://schemas.openxmlformats.org/officeDocument/2006/relationships/hyperlink" Target="https://ficoforums.myfico.com/t5/General-Credit-Topics/Which-Report-Will-They-Pull-Part-2/td-p/6379773" TargetMode="External"/><Relationship Id="rId559" Type="http://schemas.openxmlformats.org/officeDocument/2006/relationships/hyperlink" Target="https://ficoforums.myfico.com/t5/General-Credit-Topics/Which-Report-Will-They-Pull-Part-2/td-p/6379773" TargetMode="External"/><Relationship Id="rId560" Type="http://schemas.openxmlformats.org/officeDocument/2006/relationships/hyperlink" Target="https://ficoforums.myfico.com/t5/General-Credit-Topics/Which-Report-Will-They-Pull-Part-2/td-p/6379773" TargetMode="External"/><Relationship Id="rId561" Type="http://schemas.openxmlformats.org/officeDocument/2006/relationships/hyperlink" Target="https://ficoforums.myfico.com/t5/General-Credit-Topics/Which-Report-Will-They-Pull-Part-2/td-p/6379773" TargetMode="External"/><Relationship Id="rId562" Type="http://schemas.openxmlformats.org/officeDocument/2006/relationships/hyperlink" Target="https://ficoforums.myfico.com/t5/General-Credit-Topics/Which-Report-Will-They-Pull-Part-2/td-p/6379773" TargetMode="External"/><Relationship Id="rId563" Type="http://schemas.openxmlformats.org/officeDocument/2006/relationships/hyperlink" Target="https://ficoforums.myfico.com/t5/General-Credit-Topics/Which-Report-Will-They-Pull-Part-2/td-p/6379773" TargetMode="External"/><Relationship Id="rId564" Type="http://schemas.openxmlformats.org/officeDocument/2006/relationships/hyperlink" Target="https://ficoforums.myfico.com/t5/General-Credit-Topics/Which-Report-Will-They-Pull-Part-2/td-p/6379773" TargetMode="External"/><Relationship Id="rId565" Type="http://schemas.openxmlformats.org/officeDocument/2006/relationships/hyperlink" Target="https://ficoforums.myfico.com/t5/General-Credit-Topics/Which-Report-Will-They-Pull-Part-2/td-p/6379773" TargetMode="External"/><Relationship Id="rId566" Type="http://schemas.openxmlformats.org/officeDocument/2006/relationships/hyperlink" Target="https://ficoforums.myfico.com/t5/General-Credit-Topics/Which-Report-Will-They-Pull-Part-2/td-p/6379773" TargetMode="External"/><Relationship Id="rId567" Type="http://schemas.openxmlformats.org/officeDocument/2006/relationships/hyperlink" Target="https://ficoforums.myfico.com/t5/General-Credit-Topics/Which-Report-Will-They-Pull-Part-2/td-p/6379773" TargetMode="External"/><Relationship Id="rId568" Type="http://schemas.openxmlformats.org/officeDocument/2006/relationships/hyperlink" Target="https://ficoforums.myfico.com/t5/General-Credit-Topics/Which-Report-Will-They-Pull-Part-2/td-p/6379773" TargetMode="External"/><Relationship Id="rId569" Type="http://schemas.openxmlformats.org/officeDocument/2006/relationships/hyperlink" Target="https://www.doctorofcredit.com/credit-bureau-u-s-bank-pull" TargetMode="External"/><Relationship Id="rId570" Type="http://schemas.openxmlformats.org/officeDocument/2006/relationships/hyperlink" Target="https://www.doctorofcredit.com/credit-bureau-u-s-bank-pull" TargetMode="External"/><Relationship Id="rId571" Type="http://schemas.openxmlformats.org/officeDocument/2006/relationships/hyperlink" Target="https://www.doctorofcredit.com/credit-bureau-u-s-bank-pull" TargetMode="External"/><Relationship Id="rId572" Type="http://schemas.openxmlformats.org/officeDocument/2006/relationships/hyperlink" Target="https://ficoforums.myfico.com/t5/General-Credit-Topics/U-S-Bank-pulls/td-p/6868435" TargetMode="External"/><Relationship Id="rId573" Type="http://schemas.openxmlformats.org/officeDocument/2006/relationships/hyperlink" Target="https://www.doctorofcredit.com/credit-bureau-u-s-bank-pull" TargetMode="External"/><Relationship Id="rId574" Type="http://schemas.openxmlformats.org/officeDocument/2006/relationships/hyperlink" Target="https://www.doctorofcredit.com/credit-bureau-u-s-bank-pull" TargetMode="External"/><Relationship Id="rId575" Type="http://schemas.openxmlformats.org/officeDocument/2006/relationships/hyperlink" Target="https://www.doctorofcredit.com/credit-bureau-u-s-bank-pull" TargetMode="External"/><Relationship Id="rId576" Type="http://schemas.openxmlformats.org/officeDocument/2006/relationships/hyperlink" Target="https://www.doctorofcredit.com/credit-bureau-u-s-bank-pull" TargetMode="External"/><Relationship Id="rId577" Type="http://schemas.openxmlformats.org/officeDocument/2006/relationships/hyperlink" Target="https://ficoforums.myfico.com/t5/General-Credit-Topics/U-S-Bank-pulls/td-p/6868435" TargetMode="External"/><Relationship Id="rId578" Type="http://schemas.openxmlformats.org/officeDocument/2006/relationships/hyperlink" Target="https://www.doctorofcredit.com/credit-bureau-u-s-bank-pull" TargetMode="External"/><Relationship Id="rId579" Type="http://schemas.openxmlformats.org/officeDocument/2006/relationships/hyperlink" Target="https://www.doctorofcredit.com/credit-bureau-u-s-bank-pull" TargetMode="External"/><Relationship Id="rId580" Type="http://schemas.openxmlformats.org/officeDocument/2006/relationships/hyperlink" Target="https://www.doctorofcredit.com/credit-bureau-u-s-bank-pull" TargetMode="External"/><Relationship Id="rId581" Type="http://schemas.openxmlformats.org/officeDocument/2006/relationships/hyperlink" Target="https://www.doctorofcredit.com/credit-bureau-u-s-bank-pull" TargetMode="External"/><Relationship Id="rId582" Type="http://schemas.openxmlformats.org/officeDocument/2006/relationships/hyperlink" Target="https://www.doctorofcredit.com/credit-bureau-u-s-bank-pull" TargetMode="External"/><Relationship Id="rId583" Type="http://schemas.openxmlformats.org/officeDocument/2006/relationships/hyperlink" Target="https://www.doctorofcredit.com/credit-bureau-u-s-bank-pull" TargetMode="External"/><Relationship Id="rId584" Type="http://schemas.openxmlformats.org/officeDocument/2006/relationships/hyperlink" Target="https://www.doctorofcredit.com/credit-bureau-u-s-bank-pull" TargetMode="External"/><Relationship Id="rId585" Type="http://schemas.openxmlformats.org/officeDocument/2006/relationships/hyperlink" Target="https://www.doctorofcredit.com/credit-bureau-u-s-bank-pull" TargetMode="External"/><Relationship Id="rId586" Type="http://schemas.openxmlformats.org/officeDocument/2006/relationships/hyperlink" Target="https://www.doctorofcredit.com/credit-bureau-u-s-bank-pull" TargetMode="External"/><Relationship Id="rId587" Type="http://schemas.openxmlformats.org/officeDocument/2006/relationships/hyperlink" Target="https://www.doctorofcredit.com/credit-bureau-u-s-bank-pull" TargetMode="External"/><Relationship Id="rId588" Type="http://schemas.openxmlformats.org/officeDocument/2006/relationships/hyperlink" Target="https://www.doctorofcredit.com/credit-bureau-u-s-bank-pull" TargetMode="External"/><Relationship Id="rId589" Type="http://schemas.openxmlformats.org/officeDocument/2006/relationships/hyperlink" Target="https://www.doctorofcredit.com/credit-bureau-u-s-bank-pull" TargetMode="External"/><Relationship Id="rId590" Type="http://schemas.openxmlformats.org/officeDocument/2006/relationships/hyperlink" Target="https://www.doctorofcredit.com/credit-bureau-u-s-bank-pull" TargetMode="External"/><Relationship Id="rId591" Type="http://schemas.openxmlformats.org/officeDocument/2006/relationships/hyperlink" Target="https://www.doctorofcredit.com/credit-bureau-u-s-bank-pull" TargetMode="External"/><Relationship Id="rId592" Type="http://schemas.openxmlformats.org/officeDocument/2006/relationships/hyperlink" Target="https://ficoforums.myfico.com/t5/General-Credit-Topics/U-S-Bank-pulls/td-p/6868435" TargetMode="External"/><Relationship Id="rId593" Type="http://schemas.openxmlformats.org/officeDocument/2006/relationships/hyperlink" Target="https://www.doctorofcredit.com/credit-bureau-u-s-bank-pull" TargetMode="External"/><Relationship Id="rId594" Type="http://schemas.openxmlformats.org/officeDocument/2006/relationships/hyperlink" Target="https://www.doctorofcredit.com/credit-bureau-u-s-bank-pull" TargetMode="External"/><Relationship Id="rId595" Type="http://schemas.openxmlformats.org/officeDocument/2006/relationships/hyperlink" Target="https://www.doctorofcredit.com/credit-bureau-u-s-bank-pull" TargetMode="External"/><Relationship Id="rId596" Type="http://schemas.openxmlformats.org/officeDocument/2006/relationships/hyperlink" Target="https://www.doctorofcredit.com/credit-bureau-u-s-bank-pull" TargetMode="External"/><Relationship Id="rId597" Type="http://schemas.openxmlformats.org/officeDocument/2006/relationships/hyperlink" Target="https://www.doctorofcredit.com/credit-bureau-u-s-bank-pull" TargetMode="External"/><Relationship Id="rId598" Type="http://schemas.openxmlformats.org/officeDocument/2006/relationships/hyperlink" Target="https://www.doctorofcredit.com/credit-bureau-u-s-bank-pull" TargetMode="External"/><Relationship Id="rId599" Type="http://schemas.openxmlformats.org/officeDocument/2006/relationships/hyperlink" Target="https://www.doctorofcredit.com/credit-bureau-u-s-bank-pull" TargetMode="External"/><Relationship Id="rId600" Type="http://schemas.openxmlformats.org/officeDocument/2006/relationships/hyperlink" Target="https://www.doctorofcredit.com/credit-bureau-u-s-bank-pull" TargetMode="External"/><Relationship Id="rId601" Type="http://schemas.openxmlformats.org/officeDocument/2006/relationships/hyperlink" Target="https://ficoforums.myfico.com/t5/General-Credit-Topics/Which-Report-Will-They-Pull-Part-2/td-p/6379773" TargetMode="External"/><Relationship Id="rId602" Type="http://schemas.openxmlformats.org/officeDocument/2006/relationships/hyperlink" Target="https://ficoforums.myfico.com/t5/General-Credit-Topics/Which-Report-Will-They-Pull-Part-2/td-p/6379773" TargetMode="External"/><Relationship Id="rId603" Type="http://schemas.openxmlformats.org/officeDocument/2006/relationships/hyperlink" Target="https://ficoforums.myfico.com/t5/General-Credit-Topics/Which-Report-Will-They-Pull-Part-2/td-p/6379773" TargetMode="External"/><Relationship Id="rId604" Type="http://schemas.openxmlformats.org/officeDocument/2006/relationships/hyperlink" Target="https://ficoforums.myfico.com/t5/General-Credit-Topics/Which-Report-Will-They-Pull-Part-2/td-p/6379773" TargetMode="External"/><Relationship Id="rId605" Type="http://schemas.openxmlformats.org/officeDocument/2006/relationships/hyperlink" Target="https://ficoforums.myfico.com/t5/General-Credit-Topics/Which-Report-Will-They-Pull-Part-2/td-p/6379773" TargetMode="External"/><Relationship Id="rId606" Type="http://schemas.openxmlformats.org/officeDocument/2006/relationships/hyperlink" Target="https://ficoforums.myfico.com/t5/General-Credit-Topics/Which-Report-Will-They-Pull-Part-2/td-p/6379773" TargetMode="External"/><Relationship Id="rId607" Type="http://schemas.openxmlformats.org/officeDocument/2006/relationships/hyperlink" Target="https://ficoforums.myfico.com/t5/General-Credit-Topics/Which-Report-Will-They-Pull-Part-2/td-p/6379773" TargetMode="External"/><Relationship Id="rId608" Type="http://schemas.openxmlformats.org/officeDocument/2006/relationships/hyperlink" Target="https://ficoforums.myfico.com/t5/General-Credit-Topics/Which-Report-Will-They-Pull-Part-2/td-p/6379773" TargetMode="External"/><Relationship Id="rId609" Type="http://schemas.openxmlformats.org/officeDocument/2006/relationships/hyperlink" Target="https://ficoforums.myfico.com/t5/General-Credit-Topics/Which-Report-Will-They-Pull-Part-2/td-p/6379773" TargetMode="External"/><Relationship Id="rId610" Type="http://schemas.openxmlformats.org/officeDocument/2006/relationships/hyperlink" Target="https://ficoforums.myfico.com/t5/General-Credit-Topics/Which-Report-Will-They-Pull-Part-2/td-p/6379773" TargetMode="External"/><Relationship Id="rId611" Type="http://schemas.openxmlformats.org/officeDocument/2006/relationships/hyperlink" Target="https://ficoforums.myfico.com/t5/General-Credit-Topics/Which-Report-Will-They-Pull-Part-2/td-p/6379773" TargetMode="External"/><Relationship Id="rId612" Type="http://schemas.openxmlformats.org/officeDocument/2006/relationships/hyperlink" Target="https://ficoforums.myfico.com/t5/General-Credit-Topics/Which-Report-Will-They-Pull-Part-2/td-p/6379773" TargetMode="External"/><Relationship Id="rId613" Type="http://schemas.openxmlformats.org/officeDocument/2006/relationships/hyperlink" Target="https://ficoforums.myfico.com/t5/General-Credit-Topics/Which-Report-Will-They-Pull-Part-2/td-p/6379773" TargetMode="External"/><Relationship Id="rId614" Type="http://schemas.openxmlformats.org/officeDocument/2006/relationships/hyperlink" Target="https://ficoforums.myfico.com/t5/General-Credit-Topics/Which-Report-Will-They-Pull-Part-2/td-p/6379773" TargetMode="External"/><Relationship Id="rId615" Type="http://schemas.openxmlformats.org/officeDocument/2006/relationships/hyperlink" Target="https://ficoforums.myfico.com/t5/General-Credit-Topics/Which-Report-Will-They-Pull-Part-2/td-p/6379773" TargetMode="External"/><Relationship Id="rId616" Type="http://schemas.openxmlformats.org/officeDocument/2006/relationships/hyperlink" Target="https://ficoforums.myfico.com/t5/General-Credit-Topics/Which-Report-Will-They-Pull-Part-2/td-p/6379773" TargetMode="External"/><Relationship Id="rId617" Type="http://schemas.openxmlformats.org/officeDocument/2006/relationships/hyperlink" Target="https://ficoforums.myfico.com/t5/General-Credit-Topics/Which-Report-Will-They-Pull-Part-2/td-p/6379773" TargetMode="External"/><Relationship Id="rId618" Type="http://schemas.openxmlformats.org/officeDocument/2006/relationships/hyperlink" Target="https://ficoforums.myfico.com/t5/General-Credit-Topics/Which-Report-Will-They-Pull-Part-2/td-p/6379773" TargetMode="External"/><Relationship Id="rId619" Type="http://schemas.openxmlformats.org/officeDocument/2006/relationships/hyperlink" Target="https://ficoforums.myfico.com/t5/General-Credit-Topics/Which-Report-Will-They-Pull-Part-2/td-p/6379773" TargetMode="External"/><Relationship Id="rId620" Type="http://schemas.openxmlformats.org/officeDocument/2006/relationships/hyperlink" Target="https://ficoforums.myfico.com/t5/General-Credit-Topics/Which-Report-Will-They-Pull-Part-2/td-p/6379773" TargetMode="External"/><Relationship Id="rId621" Type="http://schemas.openxmlformats.org/officeDocument/2006/relationships/hyperlink" Target="https://ficoforums.myfico.com/t5/General-Credit-Topics/Which-Report-Will-They-Pull-Part-2/td-p/6379773" TargetMode="External"/><Relationship Id="rId622" Type="http://schemas.openxmlformats.org/officeDocument/2006/relationships/hyperlink" Target="https://ficoforums.myfico.com/t5/General-Credit-Topics/Which-Report-Will-They-Pull-Part-2/td-p/6379773" TargetMode="External"/><Relationship Id="rId623" Type="http://schemas.openxmlformats.org/officeDocument/2006/relationships/hyperlink" Target="https://ficoforums.myfico.com/t5/General-Credit-Topics/Which-Report-Will-They-Pull-Part-2/td-p/6379773" TargetMode="External"/><Relationship Id="rId624" Type="http://schemas.openxmlformats.org/officeDocument/2006/relationships/hyperlink" Target="https://ficoforums.myfico.com/t5/General-Credit-Topics/Which-Report-Will-They-Pull-Part-2/td-p/6379773" TargetMode="External"/><Relationship Id="rId625" Type="http://schemas.openxmlformats.org/officeDocument/2006/relationships/hyperlink" Target="https://ficoforums.myfico.com/t5/General-Credit-Topics/Which-Report-Will-They-Pull-Part-2/td-p/6379773" TargetMode="External"/><Relationship Id="rId626" Type="http://schemas.openxmlformats.org/officeDocument/2006/relationships/hyperlink" Target="https://ficoforums.myfico.com/t5/General-Credit-Topics/Which-Report-Will-They-Pull-Part-2/td-p/6379773" TargetMode="External"/><Relationship Id="rId627" Type="http://schemas.openxmlformats.org/officeDocument/2006/relationships/hyperlink" Target="https://ficoforums.myfico.com/t5/General-Credit-Topics/Which-Report-Will-They-Pull-Part-2/td-p/6379773" TargetMode="External"/><Relationship Id="rId628" Type="http://schemas.openxmlformats.org/officeDocument/2006/relationships/hyperlink" Target="https://ficoforums.myfico.com/t5/General-Credit-Topics/Which-Report-Will-They-Pull-Part-2/td-p/6379773" TargetMode="External"/><Relationship Id="rId629" Type="http://schemas.openxmlformats.org/officeDocument/2006/relationships/hyperlink" Target="https://ficoforums.myfico.com/t5/General-Credit-Topics/Which-Report-Will-They-Pull-Part-2/td-p/6379773" TargetMode="External"/><Relationship Id="rId630" Type="http://schemas.openxmlformats.org/officeDocument/2006/relationships/hyperlink" Target="https://ficoforums.myfico.com/t5/General-Credit-Topics/Which-Report-Will-They-Pull-Part-2/td-p/6379773" TargetMode="External"/><Relationship Id="rId631" Type="http://schemas.openxmlformats.org/officeDocument/2006/relationships/hyperlink" Target="https://ficoforums.myfico.com/t5/General-Credit-Topics/Which-Report-Will-They-Pull-Part-2/td-p/6379773" TargetMode="External"/><Relationship Id="rId632" Type="http://schemas.openxmlformats.org/officeDocument/2006/relationships/hyperlink" Target="https://ficoforums.myfico.com/t5/General-Credit-Topics/Which-Report-Will-They-Pull-Part-2/td-p/6379773" TargetMode="External"/><Relationship Id="rId633" Type="http://schemas.openxmlformats.org/officeDocument/2006/relationships/hyperlink" Target="https://ficoforums.myfico.com/t5/General-Credit-Topics/Which-Report-Will-They-Pull-Part-2/td-p/6379773" TargetMode="External"/><Relationship Id="rId634" Type="http://schemas.openxmlformats.org/officeDocument/2006/relationships/hyperlink" Target="https://ficoforums.myfico.com/t5/General-Credit-Topics/Which-Report-Will-They-Pull-Part-2/td-p/6379773" TargetMode="External"/><Relationship Id="rId635" Type="http://schemas.openxmlformats.org/officeDocument/2006/relationships/hyperlink" Target="https://ficoforums.myfico.com/t5/General-Credit-Topics/Which-Report-Will-They-Pull-Part-2/td-p/6379773" TargetMode="External"/><Relationship Id="rId636" Type="http://schemas.openxmlformats.org/officeDocument/2006/relationships/hyperlink" Target="https://ficoforums.myfico.com/t5/General-Credit-Topics/Which-Report-Will-They-Pull-Part-2/td-p/6379773" TargetMode="External"/><Relationship Id="rId637" Type="http://schemas.openxmlformats.org/officeDocument/2006/relationships/hyperlink" Target="https://ficoforums.myfico.com/t5/General-Credit-Topics/Which-Report-Will-They-Pull-Part-2/td-p/6379773" TargetMode="External"/><Relationship Id="rId638" Type="http://schemas.openxmlformats.org/officeDocument/2006/relationships/hyperlink" Target="https://ficoforums.myfico.com/t5/General-Credit-Topics/Which-Report-Will-They-Pull-Part-2/td-p/6379773" TargetMode="External"/><Relationship Id="rId639" Type="http://schemas.openxmlformats.org/officeDocument/2006/relationships/hyperlink" Target="https://ficoforums.myfico.com/t5/General-Credit-Topics/Which-Report-Will-They-Pull-Part-2/td-p/6379773" TargetMode="External"/><Relationship Id="rId640" Type="http://schemas.openxmlformats.org/officeDocument/2006/relationships/hyperlink" Target="https://ficoforums.myfico.com/t5/General-Credit-Topics/Which-Report-Will-They-Pull-Part-2/td-p/6379773" TargetMode="External"/><Relationship Id="rId641" Type="http://schemas.openxmlformats.org/officeDocument/2006/relationships/hyperlink" Target="https://ficoforums.myfico.com/t5/General-Credit-Topics/Which-Report-Will-They-Pull-Part-2/td-p/6379773" TargetMode="External"/><Relationship Id="rId642" Type="http://schemas.openxmlformats.org/officeDocument/2006/relationships/hyperlink" Target="https://ficoforums.myfico.com/t5/General-Credit-Topics/Which-Report-Will-They-Pull-Part-2/td-p/6379773" TargetMode="External"/><Relationship Id="rId643" Type="http://schemas.openxmlformats.org/officeDocument/2006/relationships/hyperlink" Target="https://ficoforums.myfico.com/t5/General-Credit-Topics/Which-Report-Will-They-Pull-Part-2/td-p/6379773" TargetMode="External"/><Relationship Id="rId644" Type="http://schemas.openxmlformats.org/officeDocument/2006/relationships/hyperlink" Target="https://ficoforums.myfico.com/t5/General-Credit-Topics/Which-Report-Will-They-Pull-Part-2/td-p/6379773" TargetMode="External"/><Relationship Id="rId645" Type="http://schemas.openxmlformats.org/officeDocument/2006/relationships/hyperlink" Target="https://ficoforums.myfico.com/t5/General-Credit-Topics/Which-Report-Will-They-Pull-Part-2/td-p/6379773" TargetMode="External"/><Relationship Id="rId646" Type="http://schemas.openxmlformats.org/officeDocument/2006/relationships/hyperlink" Target="https://ficoforums.myfico.com/t5/General-Credit-Topics/Which-Report-Will-They-Pull-Part-2/td-p/6379773" TargetMode="External"/><Relationship Id="rId647" Type="http://schemas.openxmlformats.org/officeDocument/2006/relationships/hyperlink" Target="https://ficoforums.myfico.com/t5/General-Credit-Topics/Which-Report-Will-They-Pull-Part-2/td-p/6379773" TargetMode="External"/><Relationship Id="rId648" Type="http://schemas.openxmlformats.org/officeDocument/2006/relationships/hyperlink" Target="https://www.doctorofcredit.com/credit-bureau-wells-fargo-pull" TargetMode="External"/><Relationship Id="rId649" Type="http://schemas.openxmlformats.org/officeDocument/2006/relationships/hyperlink" Target="https://www.doctorofcredit.com/credit-bureau-wells-fargo-pull" TargetMode="External"/><Relationship Id="rId650" Type="http://schemas.openxmlformats.org/officeDocument/2006/relationships/hyperlink" Target="https://www.doctorofcredit.com/credit-bureau-wells-fargo-pull" TargetMode="External"/><Relationship Id="rId651" Type="http://schemas.openxmlformats.org/officeDocument/2006/relationships/hyperlink" Target="https://www.doctorofcredit.com/credit-bureau-wells-fargo-pull" TargetMode="External"/><Relationship Id="rId652" Type="http://schemas.openxmlformats.org/officeDocument/2006/relationships/hyperlink" Target="https://www.doctorofcredit.com/credit-bureau-wells-fargo-pull" TargetMode="External"/><Relationship Id="rId653" Type="http://schemas.openxmlformats.org/officeDocument/2006/relationships/hyperlink" Target="https://www.doctorofcredit.com/credit-bureau-wells-fargo-pull" TargetMode="External"/><Relationship Id="rId654" Type="http://schemas.openxmlformats.org/officeDocument/2006/relationships/hyperlink" Target="https://www.doctorofcredit.com/credit-bureau-wells-fargo-pull" TargetMode="External"/><Relationship Id="rId655" Type="http://schemas.openxmlformats.org/officeDocument/2006/relationships/hyperlink" Target="https://www.doctorofcredit.com/credit-bureau-wells-fargo-pull" TargetMode="External"/><Relationship Id="rId656" Type="http://schemas.openxmlformats.org/officeDocument/2006/relationships/hyperlink" Target="https://www.doctorofcredit.com/credit-bureau-wells-fargo-pull" TargetMode="External"/><Relationship Id="rId657" Type="http://schemas.openxmlformats.org/officeDocument/2006/relationships/hyperlink" Target="https://www.doctorofcredit.com/credit-bureau-wells-fargo-pull" TargetMode="External"/><Relationship Id="rId658" Type="http://schemas.openxmlformats.org/officeDocument/2006/relationships/hyperlink" Target="https://www.doctorofcredit.com/credit-bureau-wells-fargo-pull" TargetMode="External"/><Relationship Id="rId659" Type="http://schemas.openxmlformats.org/officeDocument/2006/relationships/hyperlink" Target="https://www.doctorofcredit.com/credit-bureau-wells-fargo-pull" TargetMode="External"/><Relationship Id="rId660" Type="http://schemas.openxmlformats.org/officeDocument/2006/relationships/hyperlink" Target="https://www.doctorofcredit.com/credit-bureau-wells-fargo-pull" TargetMode="External"/><Relationship Id="rId661" Type="http://schemas.openxmlformats.org/officeDocument/2006/relationships/hyperlink" Target="https://www.doctorofcredit.com/credit-bureau-wells-fargo-pull" TargetMode="External"/><Relationship Id="rId662" Type="http://schemas.openxmlformats.org/officeDocument/2006/relationships/hyperlink" Target="https://www.doctorofcredit.com/credit-bureau-wells-fargo-pull" TargetMode="External"/><Relationship Id="rId663" Type="http://schemas.openxmlformats.org/officeDocument/2006/relationships/hyperlink" Target="https://www.doctorofcredit.com/credit-bureau-wells-fargo-pull" TargetMode="External"/><Relationship Id="rId664" Type="http://schemas.openxmlformats.org/officeDocument/2006/relationships/hyperlink" Target="https://www.doctorofcredit.com/credit-bureau-wells-fargo-pull" TargetMode="External"/><Relationship Id="rId665" Type="http://schemas.openxmlformats.org/officeDocument/2006/relationships/hyperlink" Target="https://www.doctorofcredit.com/credit-bureau-wells-fargo-pull" TargetMode="External"/><Relationship Id="rId666" Type="http://schemas.openxmlformats.org/officeDocument/2006/relationships/hyperlink" Target="https://www.doctorofcredit.com/credit-bureau-wells-fargo-pull" TargetMode="External"/><Relationship Id="rId667" Type="http://schemas.openxmlformats.org/officeDocument/2006/relationships/hyperlink" Target="https://www.doctorofcredit.com/credit-bureau-wells-fargo-pull" TargetMode="External"/><Relationship Id="rId668" Type="http://schemas.openxmlformats.org/officeDocument/2006/relationships/hyperlink" Target="https://www.doctorofcredit.com/credit-bureau-wells-fargo-pull" TargetMode="External"/><Relationship Id="rId669" Type="http://schemas.openxmlformats.org/officeDocument/2006/relationships/hyperlink" Target="https://www.doctorofcredit.com/credit-bureau-wells-fargo-pull" TargetMode="External"/><Relationship Id="rId670" Type="http://schemas.openxmlformats.org/officeDocument/2006/relationships/hyperlink" Target="https://ficoforums.myfico.com/t5/General-Credit-Topics/Which-Report-Will-They-Pull-Part-2/td-p/6379773" TargetMode="External"/><Relationship Id="rId67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ww.doctorofcredit.com/which-credit-bureau-does-each-card-issuer-pull/" TargetMode="External"/><Relationship Id="rId2" Type="http://schemas.openxmlformats.org/officeDocument/2006/relationships/hyperlink" Target="https://www.doctorofcredit.com/knowledge-base/which-credit-bureau-does-chase-pull" TargetMode="External"/><Relationship Id="rId3" Type="http://schemas.openxmlformats.org/officeDocument/2006/relationships/hyperlink" Target="https://www.doctorofcredit.com/credit-bureau-citibank-pull/" TargetMode="External"/><Relationship Id="rId4" Type="http://schemas.openxmlformats.org/officeDocument/2006/relationships/hyperlink" Target="https://www.doctorofcredit.com/credit-bureau-american-express-pull" TargetMode="External"/><Relationship Id="rId5" Type="http://schemas.openxmlformats.org/officeDocument/2006/relationships/hyperlink" Target="https://www.doctorofcredit.com/credit-bureau-bank-america-pull/" TargetMode="External"/><Relationship Id="rId6" Type="http://schemas.openxmlformats.org/officeDocument/2006/relationships/hyperlink" Target="https://www.doctorofcredit.com/credit-bureau-wells-fargo-pull" TargetMode="External"/><Relationship Id="rId7" Type="http://schemas.openxmlformats.org/officeDocument/2006/relationships/hyperlink" Target="https://www.doctorofcredit.com/credit-bureau-u-s-bank-pull" TargetMode="External"/><Relationship Id="rId8" Type="http://schemas.openxmlformats.org/officeDocument/2006/relationships/hyperlink" Target="https://mybanktracker.com/credit-cards/credit-score/credit-report-bank-of-america-pull-273501" TargetMode="External"/><Relationship Id="rId9" Type="http://schemas.openxmlformats.org/officeDocument/2006/relationships/hyperlink" Target="https://ficoforums.myfico.com/t5/General-Credit-Topics/Which-Report-Will-They-Pull-Part-2/td-p/6379773" TargetMode="External"/><Relationship Id="rId10" Type="http://schemas.openxmlformats.org/officeDocument/2006/relationships/hyperlink" Target="https://ficoforums.myfico.com/t5/General-Credit-Topics/U-S-Bank-pulls/td-p/6868435" TargetMode="External"/><Relationship Id="rId11" Type="http://schemas.openxmlformats.org/officeDocument/2006/relationships/hyperlink" Target="https://ficoforums.myfico.com/t5/Business-Credit/Which-Credit-Bureaus-Do-These-Business-Cards-Pull-From/td-p/6811049" TargetMode="External"/><Relationship Id="rId12" Type="http://schemas.openxmlformats.org/officeDocument/2006/relationships/hyperlink" Target="https://ficoforums.myfico.com/t5/Business-Credit/What-Credit-Bureaus-are-pulled-for-Business-Credit/td-p/6715854" TargetMode="External"/><Relationship Id="rId13" Type="http://schemas.openxmlformats.org/officeDocument/2006/relationships/hyperlink" Target="https://ficoforums.myfico.com/t5/Credit-Card-Applications/Credit-Cards-that-only-use-TransUnion/td-p/6736282" TargetMode="External"/><Relationship Id="rId14" Type="http://schemas.openxmlformats.org/officeDocument/2006/relationships/hyperlink" Target="https://ficoforums.myfico.com/t5/Credit-Cards/What-credit-unions-use-Transunion-for-credit-cards-PLOC-s/td-p/4713036" TargetMode="External"/><Relationship Id="rId15" Type="http://schemas.openxmlformats.org/officeDocument/2006/relationships/hyperlink" Target="https://ficoforums.myfico.com/t5/Credit-Cards/good-Credit-union-that-pull-equifax/td-p/6638312" TargetMode="External"/><Relationship Id="rId16" Type="http://schemas.openxmlformats.org/officeDocument/2006/relationships/hyperlink" Target="https://ficoforums.myfico.com/t5/Personal-Finance/List-of-Personal-loan-lenders-with-PREAPPROVAL-links/td-p/5939849" TargetMode="External"/><Relationship Id="rId17" Type="http://schemas.openxmlformats.org/officeDocument/2006/relationships/hyperlink" Target="https://ficoforums.myfico.com/t5/General-Credit-Topics/What-credit-bureaus-does-NavyFed-pull-from/td-p/6648244" TargetMode="External"/><Relationship Id="rId18" Type="http://schemas.openxmlformats.org/officeDocument/2006/relationships/hyperlink" Target="https://cardright.com/list-of-which-credit-report-each-bank-pulls/" TargetMode="External"/><Relationship Id="rId19" Type="http://schemas.openxmlformats.org/officeDocument/2006/relationships/hyperlink" Target="https://financer.com/cards/what-credit-cards-use-transunion/" TargetMode="External"/><Relationship Id="rId20" Type="http://schemas.openxmlformats.org/officeDocument/2006/relationships/hyperlink" Target="https://www.stackeasy.ai/blog/credit-bureau-pull-database-2026" TargetMode="External"/><Relationship Id="rId21" Type="http://schemas.openxmlformats.org/officeDocument/2006/relationships/hyperlink" Target="https://thepointsguy.com/credit-cards/which-credit-report-agencies-banks-use-to-pull-your-credit-report-and-why-it-matters/" TargetMode="External"/><Relationship Id="rId22" Type="http://schemas.openxmlformats.org/officeDocument/2006/relationships/hyperlink" Target="https://www.thecreditpeople.com/bureaus/which-credit-bureau-does-each-bank-pull-from" TargetMode="External"/><Relationship Id="rId23" Type="http://schemas.openxmlformats.org/officeDocument/2006/relationships/hyperlink" Target="https://doctorofcredit.com/which-business-credit-cards-report/" TargetMode="External"/><Relationship Id="rId24" Type="http://schemas.openxmlformats.org/officeDocument/2006/relationships/hyperlink" Target="https://www.stacking.capital/articles/0-percent-interest-business-funding-complete-guide" TargetMode="External"/><Relationship Id="rId25" Type="http://schemas.openxmlformats.org/officeDocument/2006/relationships/hyperlink" Target="https://www.stacking.capital/articles/credit-card-agent-issuers-complete-guide" TargetMode="External"/><Relationship Id="rId26" Type="http://schemas.openxmlformats.org/officeDocument/2006/relationships/hyperlink" Target="https://frequentmiler.com/complete-guide-to-credit-card-application-rules-by-bank" TargetMode="External"/><Relationship Id="rId27" Type="http://schemas.openxmlformats.org/officeDocument/2006/relationships/hyperlink" Target="https://www.lendingtree.com/business/no-doc-loans/" TargetMode="External"/><Relationship Id="rId28" Type="http://schemas.openxmlformats.org/officeDocument/2006/relationships/hyperlink" Target="https://www.nerdwallet.com/best/small-business/business-line-of-credit" TargetMode="External"/><Relationship Id="rId29" Type="http://schemas.openxmlformats.org/officeDocument/2006/relationships/hyperlink" Target="https://www.nerdwallet.com/article/small-business/startup-business-line-of-credit" TargetMode="External"/><Relationship Id="rId30" Type="http://schemas.openxmlformats.org/officeDocument/2006/relationships/hyperlink" Target="https://www.nerdwallet.com/best/loans/personal-loans/best-personal-loans-2" TargetMode="External"/><Relationship Id="rId31" Type="http://schemas.openxmlformats.org/officeDocument/2006/relationships/hyperlink" Target="https://financer.com/loans/what-credit-score-is-needed-for-a-personal-loan/" TargetMode="External"/><Relationship Id="rId32" Type="http://schemas.openxmlformats.org/officeDocument/2006/relationships/hyperlink" Target="https://www.finder.com/personal-loans/best-bad-credit-personal-loans" TargetMode="External"/><Relationship Id="rId33" Type="http://schemas.openxmlformats.org/officeDocument/2006/relationships/hyperlink" Target="https://www.nerdwallet.com/business/credit-cards/best/no-credit-check" TargetMode="External"/><Relationship Id="rId34" Type="http://schemas.openxmlformats.org/officeDocument/2006/relationships/hyperlink" Target="https://ramp.com/blog/brex-business-credit-card-requirements" TargetMode="External"/><Relationship Id="rId35" Type="http://schemas.openxmlformats.org/officeDocument/2006/relationships/hyperlink" Target="https://startupsavant.com/net-30-vendors" TargetMode="External"/><Relationship Id="rId36" Type="http://schemas.openxmlformats.org/officeDocument/2006/relationships/hyperlink" Target="https://www.lendingtree.com/business/microloans" TargetMode="External"/><Relationship Id="rId37" Type="http://schemas.openxmlformats.org/officeDocument/2006/relationships/hyperlink" Target="https://newsilver.com/dscr-loan/best-dscr-lenders/" TargetMode="External"/><Relationship Id="rId38" Type="http://schemas.openxmlformats.org/officeDocument/2006/relationships/hyperlink" Target="https://theclose.com/best-fix-and-flip-loans" TargetMode="External"/><Relationship Id="rId39" Type="http://schemas.openxmlformats.org/officeDocument/2006/relationships/hyperlink" Target="https://www.bankrate.com/loans/small-business/best-equipment-business-loans" TargetMode="External"/><Relationship Id="rId40" Type="http://schemas.openxmlformats.org/officeDocument/2006/relationships/hyperlink" Target="https://www.nerdwallet.com/business/loans/best/bad-credit" TargetMode="External"/><Relationship Id="rId41" Type="http://schemas.openxmlformats.org/officeDocument/2006/relationships/hyperlink" Target="https://nerdwallet.com/business/loans/best/merchant-cash-advance-companies" TargetMode="External"/><Relationship Id="rId42" Type="http://schemas.openxmlformats.org/officeDocument/2006/relationships/hyperlink" Target="https://www.nerdwallet.com/credit-cards/best/building-credit" TargetMode="External"/><Relationship Id="rId43" Type="http://schemas.openxmlformats.org/officeDocument/2006/relationships/hyperlink" Target="https://www.naggl.org/sba-notice-formally-announcing-sunsetting-of-sbss-scoring-and-providing-new-underwriting-requirements-for-7a-small-loans/" TargetMode="External"/><Relationship Id="rId44" Type="http://schemas.openxmlformats.org/officeDocument/2006/relationships/hyperlink" Target="https://www.nerdwallet.com/business/loans/learn/best-banks-small-business-loans" TargetMode="External"/><Relationship Id="rId45" Type="http://schemas.openxmlformats.org/officeDocument/2006/relationships/hyperlink" Target="https://www.bankrate.com/loans/small-business/reviews/american-express-business-blueprint" TargetMode="External"/><Relationship Id="rId46" Type="http://schemas.openxmlformats.org/officeDocument/2006/relationships/hyperlink" Target="https://www.lendingtree.com/business/invoice-factoring/" TargetMode="External"/><Relationship Id="rId47" Type="http://schemas.openxmlformats.org/officeDocument/2006/relationships/hyperlink" Target="https://www.crediful.com/auto-loans-for-bad-credit/" TargetMode="External"/><Relationship Id="rId48" Type="http://schemas.openxmlformats.org/officeDocument/2006/relationships/hyperlink" Target="https://www.sofi.com/learn/content/which-credit-score-is-used/" TargetMode="External"/><Relationship Id="rId49" Type="http://schemas.openxmlformats.org/officeDocument/2006/relationships/hyperlink" Target="https://nationalmortgageprofessional.com/news/fhfa-opens-vantagescore-all-gse-lenders-eyes-credit-report-overhaul" TargetMode="External"/><Relationship Id="rId50" Type="http://schemas.openxmlformats.org/officeDocument/2006/relationships/hyperlink" Target="https://www.goldmansachs.com/pressroom/press-releases/2026/goldman-sachs-announces-agreement-to-transition-apple-card-program-to-chase" TargetMode="External"/><Relationship Id="rId51" Type="http://schemas.openxmlformats.org/officeDocument/2006/relationships/hyperlink" Target="https://www.capitalone.com/about/newsroom/capital-one-completes-acquisition-of-brex/" TargetMode="External"/><Relationship Id="rId52" Type="http://schemas.openxmlformats.org/officeDocument/2006/relationships/hyperlink" Target="https://www.businesswire.com/news/home/20250517147002/en/Capital-One-Completes-Acquisition-of-Discover" TargetMode="External"/><Relationship Id="rId53" Type="http://schemas.openxmlformats.org/officeDocument/2006/relationships/hyperlink" Target="https://www.americanbanker.com/news/goodbye-lendingclub-digital-bank-rebrands-as-happen-bank" TargetMode="External"/><Relationship Id="rId54" Type="http://schemas.openxmlformats.org/officeDocument/2006/relationships/hyperlink" Target="https://en.wikipedia.org/wiki/BBVA_US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6" t="s">
        <v>4</v>
      </c>
    </row>
    <row r="6" customFormat="false" ht="23.85" hidden="false" customHeight="false" outlineLevel="0" collapsed="false">
      <c r="A6" s="5" t="s">
        <v>5</v>
      </c>
      <c r="B6" s="6" t="s">
        <v>6</v>
      </c>
    </row>
    <row r="7" customFormat="false" ht="15" hidden="false" customHeight="false" outlineLevel="0" collapsed="false">
      <c r="A7" s="5" t="s">
        <v>7</v>
      </c>
      <c r="B7" s="6" t="s">
        <v>8</v>
      </c>
    </row>
    <row r="8" customFormat="false" ht="15" hidden="false" customHeight="false" outlineLevel="0" collapsed="false">
      <c r="A8" s="5" t="s">
        <v>9</v>
      </c>
      <c r="B8" s="6" t="s">
        <v>10</v>
      </c>
    </row>
    <row r="9" customFormat="false" ht="15" hidden="false" customHeight="false" outlineLevel="0" collapsed="false">
      <c r="A9" s="5" t="s">
        <v>11</v>
      </c>
      <c r="B9" s="6" t="s">
        <v>12</v>
      </c>
    </row>
    <row r="11" customFormat="false" ht="15" hidden="false" customHeight="false" outlineLevel="0" collapsed="false">
      <c r="A11" s="3" t="s">
        <v>13</v>
      </c>
      <c r="B11" s="4"/>
    </row>
    <row r="12" customFormat="false" ht="15" hidden="false" customHeight="false" outlineLevel="0" collapsed="false">
      <c r="A12" s="7" t="s">
        <v>14</v>
      </c>
      <c r="B12" s="8" t="n">
        <f aca="false">COUNTIF('All States &amp; Banks'!$K$2:$K$400,"Confirmed by state data")</f>
        <v>84</v>
      </c>
    </row>
    <row r="13" customFormat="false" ht="15" hidden="false" customHeight="false" outlineLevel="0" collapsed="false">
      <c r="A13" s="7" t="s">
        <v>15</v>
      </c>
      <c r="B13" s="8" t="n">
        <f aca="false">COUNTIF('All States &amp; Banks'!$K$2:$K$400,"Partly confirmed by state data")</f>
        <v>6</v>
      </c>
    </row>
    <row r="14" customFormat="false" ht="15" hidden="false" customHeight="false" outlineLevel="0" collapsed="false">
      <c r="A14" s="7" t="s">
        <v>16</v>
      </c>
      <c r="B14" s="8" t="n">
        <f aca="false">COUNTIF('All States &amp; Banks'!$K$2:$K$400,"Fits national pattern")</f>
        <v>102</v>
      </c>
    </row>
    <row r="15" customFormat="false" ht="15" hidden="false" customHeight="false" outlineLevel="0" collapsed="false">
      <c r="A15" s="7" t="s">
        <v>17</v>
      </c>
      <c r="B15" s="8" t="n">
        <f aca="false">COUNTIF('All States &amp; Banks'!$K$2:$K$400,"Partly fits national pattern")</f>
        <v>1</v>
      </c>
    </row>
    <row r="16" customFormat="false" ht="15" hidden="false" customHeight="false" outlineLevel="0" collapsed="false">
      <c r="A16" s="7" t="s">
        <v>18</v>
      </c>
      <c r="B16" s="8" t="n">
        <f aca="false">COUNTIF('All States &amp; Banks'!$K$2:$K$400,"Differs from published data")</f>
        <v>0</v>
      </c>
    </row>
    <row r="17" customFormat="false" ht="15" hidden="false" customHeight="false" outlineLevel="0" collapsed="false">
      <c r="A17" s="7" t="s">
        <v>19</v>
      </c>
      <c r="B17" s="8" t="n">
        <f aca="false">COUNTIF('All States &amp; Banks'!$K$2:$K$400,"Unusual for this lender")</f>
        <v>0</v>
      </c>
    </row>
    <row r="18" customFormat="false" ht="15" hidden="false" customHeight="false" outlineLevel="0" collapsed="false">
      <c r="A18" s="7" t="s">
        <v>20</v>
      </c>
      <c r="B18" s="8" t="n">
        <f aca="false">COUNTIF('All States &amp; Banks'!$K$2:$K$400,"Your row is the only datapoint")</f>
        <v>34</v>
      </c>
    </row>
    <row r="19" customFormat="false" ht="15" hidden="false" customHeight="false" outlineLevel="0" collapsed="false">
      <c r="A19" s="7" t="s">
        <v>21</v>
      </c>
      <c r="B19" s="8" t="n">
        <f aca="false">COUNTIF('All States &amp; Banks'!$K$2:$K$400,"Auto: varies by dealer and region")</f>
        <v>58</v>
      </c>
    </row>
    <row r="20" customFormat="false" ht="15" hidden="false" customHeight="false" outlineLevel="0" collapsed="false">
      <c r="A20" s="7" t="s">
        <v>22</v>
      </c>
      <c r="B20" s="8" t="n">
        <f aca="false">COUNTIF('All States &amp; Banks'!$K$2:$K$400,"Reseller or screening, not a lender")</f>
        <v>55</v>
      </c>
    </row>
    <row r="21" customFormat="false" ht="15" hidden="false" customHeight="false" outlineLevel="0" collapsed="false">
      <c r="A21" s="7" t="s">
        <v>23</v>
      </c>
      <c r="B21" s="8" t="n">
        <f aca="false">COUNTIF('All States &amp; Banks'!$K$2:$K$400,"Other non-funding inquiry")</f>
        <v>4</v>
      </c>
    </row>
    <row r="22" customFormat="false" ht="15" hidden="false" customHeight="false" outlineLevel="0" collapsed="false">
      <c r="A22" s="7" t="s">
        <v>24</v>
      </c>
      <c r="B22" s="8" t="n">
        <f aca="false">COUNTIF('All States &amp; Banks'!$K$2:$K$400,"Name not identified")</f>
        <v>11</v>
      </c>
    </row>
    <row r="23" customFormat="false" ht="15" hidden="false" customHeight="false" outlineLevel="0" collapsed="false">
      <c r="A23" s="7" t="s">
        <v>25</v>
      </c>
      <c r="B23" s="9" t="n">
        <f aca="false">SUM(B12:B22)</f>
        <v>355</v>
      </c>
    </row>
    <row r="25" customFormat="false" ht="15" hidden="false" customHeight="false" outlineLevel="0" collapsed="false">
      <c r="A25" s="3" t="s">
        <v>26</v>
      </c>
      <c r="B25" s="4"/>
    </row>
    <row r="26" customFormat="false" ht="15" hidden="false" customHeight="false" outlineLevel="0" collapsed="false">
      <c r="A26" s="5" t="s">
        <v>27</v>
      </c>
      <c r="B26" s="6" t="s">
        <v>28</v>
      </c>
    </row>
    <row r="27" customFormat="false" ht="15" hidden="false" customHeight="false" outlineLevel="0" collapsed="false">
      <c r="A27" s="5" t="s">
        <v>29</v>
      </c>
      <c r="B27" s="6" t="s">
        <v>30</v>
      </c>
    </row>
    <row r="28" customFormat="false" ht="15" hidden="false" customHeight="false" outlineLevel="0" collapsed="false">
      <c r="A28" s="5" t="s">
        <v>31</v>
      </c>
      <c r="B28" s="6" t="s">
        <v>32</v>
      </c>
    </row>
    <row r="29" customFormat="false" ht="15" hidden="false" customHeight="false" outlineLevel="0" collapsed="false">
      <c r="A29" s="5" t="s">
        <v>33</v>
      </c>
      <c r="B29" s="6" t="s">
        <v>34</v>
      </c>
    </row>
    <row r="30" customFormat="false" ht="15" hidden="false" customHeight="false" outlineLevel="0" collapsed="false">
      <c r="A30" s="5" t="s">
        <v>35</v>
      </c>
      <c r="B30" s="6" t="s">
        <v>36</v>
      </c>
    </row>
    <row r="31" customFormat="false" ht="23.85" hidden="false" customHeight="false" outlineLevel="0" collapsed="false">
      <c r="A31" s="5" t="s">
        <v>37</v>
      </c>
      <c r="B31" s="6" t="s">
        <v>38</v>
      </c>
    </row>
    <row r="32" customFormat="false" ht="15" hidden="false" customHeight="false" outlineLevel="0" collapsed="false">
      <c r="A32" s="5" t="s">
        <v>39</v>
      </c>
      <c r="B32" s="6" t="s">
        <v>40</v>
      </c>
    </row>
    <row r="33" customFormat="false" ht="15" hidden="false" customHeight="false" outlineLevel="0" collapsed="false">
      <c r="A33" s="5" t="s">
        <v>41</v>
      </c>
      <c r="B33" s="6" t="s">
        <v>42</v>
      </c>
    </row>
    <row r="34" customFormat="false" ht="15" hidden="false" customHeight="false" outlineLevel="0" collapsed="false">
      <c r="A34" s="5" t="s">
        <v>43</v>
      </c>
      <c r="B34" s="6" t="s">
        <v>44</v>
      </c>
    </row>
    <row r="35" customFormat="false" ht="23.85" hidden="false" customHeight="false" outlineLevel="0" collapsed="false">
      <c r="A35" s="5" t="s">
        <v>45</v>
      </c>
      <c r="B35" s="6" t="s">
        <v>46</v>
      </c>
    </row>
    <row r="36" customFormat="false" ht="23.85" hidden="false" customHeight="false" outlineLevel="0" collapsed="false">
      <c r="A36" s="5" t="s">
        <v>47</v>
      </c>
      <c r="B36" s="6" t="s">
        <v>48</v>
      </c>
    </row>
    <row r="37" customFormat="false" ht="35.05" hidden="false" customHeight="false" outlineLevel="0" collapsed="false">
      <c r="A37" s="5" t="s">
        <v>49</v>
      </c>
      <c r="B37" s="6" t="s">
        <v>50</v>
      </c>
    </row>
    <row r="38" customFormat="false" ht="23.85" hidden="false" customHeight="false" outlineLevel="0" collapsed="false">
      <c r="A38" s="5" t="s">
        <v>51</v>
      </c>
      <c r="B38" s="6" t="s">
        <v>52</v>
      </c>
    </row>
    <row r="40" customFormat="false" ht="15" hidden="false" customHeight="false" outlineLevel="0" collapsed="false">
      <c r="A40" s="3" t="s">
        <v>53</v>
      </c>
      <c r="B40" s="4"/>
    </row>
    <row r="41" customFormat="false" ht="23.85" hidden="false" customHeight="false" outlineLevel="0" collapsed="false">
      <c r="A41" s="5" t="s">
        <v>54</v>
      </c>
      <c r="B41" s="6" t="s">
        <v>55</v>
      </c>
    </row>
    <row r="42" customFormat="false" ht="23.85" hidden="false" customHeight="false" outlineLevel="0" collapsed="false">
      <c r="A42" s="5" t="s">
        <v>56</v>
      </c>
      <c r="B42" s="6" t="s">
        <v>57</v>
      </c>
    </row>
    <row r="43" customFormat="false" ht="23.85" hidden="false" customHeight="false" outlineLevel="0" collapsed="false">
      <c r="A43" s="5" t="s">
        <v>58</v>
      </c>
      <c r="B43" s="6" t="s">
        <v>59</v>
      </c>
    </row>
    <row r="44" customFormat="false" ht="23.85" hidden="false" customHeight="false" outlineLevel="0" collapsed="false">
      <c r="A44" s="5" t="s">
        <v>60</v>
      </c>
      <c r="B44" s="6" t="s">
        <v>61</v>
      </c>
    </row>
    <row r="45" customFormat="false" ht="23.85" hidden="false" customHeight="false" outlineLevel="0" collapsed="false">
      <c r="A45" s="5" t="s">
        <v>62</v>
      </c>
      <c r="B45" s="6" t="s">
        <v>63</v>
      </c>
    </row>
    <row r="46" customFormat="false" ht="15" hidden="false" customHeight="false" outlineLevel="0" collapsed="false">
      <c r="A46" s="5" t="s">
        <v>64</v>
      </c>
      <c r="B46" s="6" t="s">
        <v>65</v>
      </c>
    </row>
    <row r="48" customFormat="false" ht="15" hidden="false" customHeight="false" outlineLevel="0" collapsed="false">
      <c r="A48" s="3" t="s">
        <v>66</v>
      </c>
      <c r="B48" s="4"/>
    </row>
    <row r="49" customFormat="false" ht="23.85" hidden="false" customHeight="false" outlineLevel="0" collapsed="false">
      <c r="A49" s="5" t="s">
        <v>67</v>
      </c>
      <c r="B49" s="6" t="s">
        <v>68</v>
      </c>
    </row>
    <row r="50" customFormat="false" ht="23.85" hidden="false" customHeight="false" outlineLevel="0" collapsed="false">
      <c r="A50" s="5" t="s">
        <v>69</v>
      </c>
      <c r="B50" s="6" t="s">
        <v>70</v>
      </c>
    </row>
    <row r="51" customFormat="false" ht="23.85" hidden="false" customHeight="false" outlineLevel="0" collapsed="false">
      <c r="A51" s="5" t="s">
        <v>71</v>
      </c>
      <c r="B51" s="6" t="s">
        <v>72</v>
      </c>
    </row>
    <row r="52" customFormat="false" ht="15" hidden="false" customHeight="false" outlineLevel="0" collapsed="false">
      <c r="A52" s="5" t="s">
        <v>73</v>
      </c>
      <c r="B52" s="6"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1"/>
    <col collapsed="false" customWidth="true" hidden="false" outlineLevel="0" max="4" min="4" style="0" width="22"/>
    <col collapsed="false" customWidth="true" hidden="false" outlineLevel="0" max="5" min="5" style="0" width="36"/>
    <col collapsed="false" customWidth="true" hidden="false" outlineLevel="0" max="6" min="6" style="0" width="16"/>
    <col collapsed="false" customWidth="true" hidden="false" outlineLevel="0" max="9" min="7" style="0" width="11"/>
    <col collapsed="false" customWidth="true" hidden="false" outlineLevel="0" max="12" min="10" style="0" width="26"/>
    <col collapsed="false" customWidth="true" hidden="false" outlineLevel="0" max="13" min="13" style="0" width="16"/>
    <col collapsed="false" customWidth="true" hidden="false" outlineLevel="0" max="14" min="14" style="0" width="26"/>
    <col collapsed="false" customWidth="true" hidden="false" outlineLevel="0" max="15" min="15" style="0" width="10"/>
    <col collapsed="false" customWidth="true" hidden="false" outlineLevel="0" max="16" min="16" style="0" width="40"/>
    <col collapsed="false" customWidth="true" hidden="false" outlineLevel="0" max="17" min="17" style="0" width="60"/>
    <col collapsed="false" customWidth="true" hidden="false" outlineLevel="0" max="18" min="18" style="0" width="11"/>
    <col collapsed="false" customWidth="true" hidden="false" outlineLevel="0" max="19" min="19" style="0" width="16"/>
    <col collapsed="false" customWidth="true" hidden="false" outlineLevel="0" max="20" min="20" style="0" width="34"/>
  </cols>
  <sheetData>
    <row r="1" customFormat="false" ht="31.5" hidden="false" customHeight="true" outlineLevel="0" collapsed="false">
      <c r="A1" s="10" t="s">
        <v>75</v>
      </c>
      <c r="B1" s="10" t="s">
        <v>76</v>
      </c>
      <c r="C1" s="10" t="s">
        <v>77</v>
      </c>
      <c r="D1" s="10" t="s">
        <v>78</v>
      </c>
      <c r="E1" s="10" t="s">
        <v>79</v>
      </c>
      <c r="F1" s="10" t="s">
        <v>80</v>
      </c>
      <c r="G1" s="10" t="s">
        <v>81</v>
      </c>
      <c r="H1" s="10" t="s">
        <v>82</v>
      </c>
      <c r="I1" s="10" t="s">
        <v>83</v>
      </c>
      <c r="J1" s="10" t="s">
        <v>84</v>
      </c>
      <c r="K1" s="10" t="s">
        <v>85</v>
      </c>
      <c r="L1" s="10" t="s">
        <v>86</v>
      </c>
      <c r="M1" s="10" t="s">
        <v>87</v>
      </c>
      <c r="N1" s="10" t="s">
        <v>88</v>
      </c>
      <c r="O1" s="10" t="s">
        <v>89</v>
      </c>
      <c r="P1" s="10" t="s">
        <v>90</v>
      </c>
      <c r="Q1" s="10" t="s">
        <v>91</v>
      </c>
      <c r="R1" s="10" t="s">
        <v>62</v>
      </c>
      <c r="S1" s="10" t="s">
        <v>11</v>
      </c>
      <c r="T1" s="10" t="s">
        <v>92</v>
      </c>
    </row>
    <row r="2" customFormat="false" ht="26.85" hidden="false" customHeight="false" outlineLevel="0" collapsed="false">
      <c r="A2" s="11" t="s">
        <v>93</v>
      </c>
      <c r="B2" s="11"/>
      <c r="C2" s="11"/>
      <c r="D2" s="11"/>
      <c r="E2" s="11"/>
      <c r="F2" s="11"/>
      <c r="G2" s="11"/>
      <c r="H2" s="11"/>
      <c r="I2" s="11"/>
      <c r="J2" s="11"/>
      <c r="K2" s="11"/>
      <c r="L2" s="11"/>
      <c r="M2" s="11"/>
      <c r="N2" s="11"/>
      <c r="O2" s="11"/>
      <c r="P2" s="11"/>
      <c r="Q2" s="11"/>
      <c r="R2" s="11"/>
      <c r="S2" s="11"/>
      <c r="T2" s="11"/>
    </row>
    <row r="3" customFormat="false" ht="68.65" hidden="false" customHeight="false" outlineLevel="0" collapsed="false">
      <c r="A3" s="12" t="s">
        <v>93</v>
      </c>
      <c r="B3" s="12" t="s">
        <v>94</v>
      </c>
      <c r="C3" s="13" t="s">
        <v>95</v>
      </c>
      <c r="D3" s="12" t="s">
        <v>96</v>
      </c>
      <c r="E3" s="12" t="s">
        <v>97</v>
      </c>
      <c r="F3" s="13" t="s">
        <v>81</v>
      </c>
      <c r="G3" s="13" t="s">
        <v>98</v>
      </c>
      <c r="H3" s="13" t="s">
        <v>99</v>
      </c>
      <c r="I3" s="13" t="s">
        <v>100</v>
      </c>
      <c r="J3" s="12" t="s">
        <v>101</v>
      </c>
      <c r="K3" s="12" t="s">
        <v>102</v>
      </c>
      <c r="L3" s="12" t="s">
        <v>103</v>
      </c>
      <c r="M3" s="12" t="s">
        <v>104</v>
      </c>
      <c r="N3" s="12" t="s">
        <v>105</v>
      </c>
      <c r="O3" s="14" t="s">
        <v>106</v>
      </c>
      <c r="P3" s="12" t="s">
        <v>107</v>
      </c>
      <c r="Q3" s="12" t="s">
        <v>108</v>
      </c>
      <c r="R3" s="13" t="s">
        <v>109</v>
      </c>
      <c r="S3" s="12" t="s">
        <v>110</v>
      </c>
      <c r="T3" s="15" t="s">
        <v>111</v>
      </c>
    </row>
    <row r="4" customFormat="false" ht="68.65" hidden="false" customHeight="false" outlineLevel="0" collapsed="false">
      <c r="A4" s="12" t="s">
        <v>93</v>
      </c>
      <c r="B4" s="12" t="s">
        <v>112</v>
      </c>
      <c r="C4" s="13" t="s">
        <v>95</v>
      </c>
      <c r="D4" s="12"/>
      <c r="E4" s="12" t="s">
        <v>113</v>
      </c>
      <c r="F4" s="13" t="s">
        <v>81</v>
      </c>
      <c r="G4" s="13" t="s">
        <v>98</v>
      </c>
      <c r="H4" s="13" t="s">
        <v>114</v>
      </c>
      <c r="I4" s="13" t="s">
        <v>114</v>
      </c>
      <c r="J4" s="12" t="s">
        <v>115</v>
      </c>
      <c r="K4" s="12" t="s">
        <v>116</v>
      </c>
      <c r="L4" s="12" t="s">
        <v>117</v>
      </c>
      <c r="M4" s="12" t="s">
        <v>118</v>
      </c>
      <c r="N4" s="12" t="s">
        <v>119</v>
      </c>
      <c r="O4" s="14" t="s">
        <v>106</v>
      </c>
      <c r="P4" s="12" t="s">
        <v>120</v>
      </c>
      <c r="Q4" s="12" t="s">
        <v>121</v>
      </c>
      <c r="R4" s="13" t="s">
        <v>109</v>
      </c>
      <c r="S4" s="12" t="s">
        <v>122</v>
      </c>
      <c r="T4" s="15" t="s">
        <v>123</v>
      </c>
    </row>
    <row r="5" customFormat="false" ht="57.45" hidden="false" customHeight="false" outlineLevel="0" collapsed="false">
      <c r="A5" s="12" t="s">
        <v>93</v>
      </c>
      <c r="B5" s="12" t="s">
        <v>124</v>
      </c>
      <c r="C5" s="13" t="s">
        <v>95</v>
      </c>
      <c r="D5" s="12" t="s">
        <v>125</v>
      </c>
      <c r="E5" s="12" t="s">
        <v>126</v>
      </c>
      <c r="F5" s="13" t="s">
        <v>81</v>
      </c>
      <c r="G5" s="13" t="s">
        <v>98</v>
      </c>
      <c r="H5" s="13" t="s">
        <v>99</v>
      </c>
      <c r="I5" s="13" t="s">
        <v>100</v>
      </c>
      <c r="J5" s="12" t="s">
        <v>127</v>
      </c>
      <c r="K5" s="12" t="s">
        <v>128</v>
      </c>
      <c r="L5" s="12" t="s">
        <v>129</v>
      </c>
      <c r="M5" s="12" t="s">
        <v>104</v>
      </c>
      <c r="N5" s="12" t="s">
        <v>130</v>
      </c>
      <c r="O5" s="14" t="s">
        <v>106</v>
      </c>
      <c r="P5" s="12" t="s">
        <v>131</v>
      </c>
      <c r="Q5" s="12" t="s">
        <v>132</v>
      </c>
      <c r="R5" s="13" t="s">
        <v>109</v>
      </c>
      <c r="S5" s="12" t="s">
        <v>133</v>
      </c>
      <c r="T5" s="15" t="s">
        <v>134</v>
      </c>
    </row>
    <row r="6" customFormat="false" ht="68.65" hidden="false" customHeight="false" outlineLevel="0" collapsed="false">
      <c r="A6" s="12" t="s">
        <v>93</v>
      </c>
      <c r="B6" s="12" t="s">
        <v>135</v>
      </c>
      <c r="C6" s="13" t="s">
        <v>95</v>
      </c>
      <c r="D6" s="12" t="s">
        <v>136</v>
      </c>
      <c r="E6" s="12" t="s">
        <v>137</v>
      </c>
      <c r="F6" s="13" t="s">
        <v>81</v>
      </c>
      <c r="G6" s="13" t="s">
        <v>98</v>
      </c>
      <c r="H6" s="13" t="s">
        <v>100</v>
      </c>
      <c r="I6" s="13" t="s">
        <v>99</v>
      </c>
      <c r="J6" s="12" t="s">
        <v>138</v>
      </c>
      <c r="K6" s="12" t="s">
        <v>139</v>
      </c>
      <c r="L6" s="12" t="s">
        <v>140</v>
      </c>
      <c r="M6" s="12" t="s">
        <v>104</v>
      </c>
      <c r="N6" s="12" t="s">
        <v>141</v>
      </c>
      <c r="O6" s="14" t="s">
        <v>106</v>
      </c>
      <c r="P6" s="12" t="s">
        <v>142</v>
      </c>
      <c r="Q6" s="12" t="s">
        <v>143</v>
      </c>
      <c r="R6" s="13" t="s">
        <v>109</v>
      </c>
      <c r="S6" s="12" t="s">
        <v>144</v>
      </c>
      <c r="T6" s="15" t="s">
        <v>145</v>
      </c>
    </row>
    <row r="7" customFormat="false" ht="57.45" hidden="false" customHeight="false" outlineLevel="0" collapsed="false">
      <c r="A7" s="12" t="s">
        <v>93</v>
      </c>
      <c r="B7" s="12" t="s">
        <v>146</v>
      </c>
      <c r="C7" s="13" t="s">
        <v>95</v>
      </c>
      <c r="D7" s="12" t="s">
        <v>147</v>
      </c>
      <c r="E7" s="12" t="s">
        <v>148</v>
      </c>
      <c r="F7" s="13" t="s">
        <v>149</v>
      </c>
      <c r="G7" s="13" t="s">
        <v>98</v>
      </c>
      <c r="H7" s="13" t="s">
        <v>98</v>
      </c>
      <c r="I7" s="13" t="s">
        <v>98</v>
      </c>
      <c r="J7" s="12" t="s">
        <v>150</v>
      </c>
      <c r="K7" s="12" t="s">
        <v>151</v>
      </c>
      <c r="L7" s="12" t="s">
        <v>152</v>
      </c>
      <c r="M7" s="12" t="s">
        <v>153</v>
      </c>
      <c r="N7" s="12" t="s">
        <v>154</v>
      </c>
      <c r="O7" s="14" t="s">
        <v>106</v>
      </c>
      <c r="P7" s="12" t="s">
        <v>155</v>
      </c>
      <c r="Q7" s="12" t="s">
        <v>156</v>
      </c>
      <c r="R7" s="13" t="s">
        <v>109</v>
      </c>
      <c r="S7" s="12" t="s">
        <v>157</v>
      </c>
      <c r="T7" s="15" t="s">
        <v>111</v>
      </c>
    </row>
    <row r="8" customFormat="false" ht="57.45" hidden="false" customHeight="false" outlineLevel="0" collapsed="false">
      <c r="A8" s="12" t="s">
        <v>93</v>
      </c>
      <c r="B8" s="12" t="s">
        <v>158</v>
      </c>
      <c r="C8" s="13" t="s">
        <v>95</v>
      </c>
      <c r="D8" s="12" t="s">
        <v>159</v>
      </c>
      <c r="E8" s="12" t="s">
        <v>160</v>
      </c>
      <c r="F8" s="13" t="s">
        <v>81</v>
      </c>
      <c r="G8" s="13" t="s">
        <v>98</v>
      </c>
      <c r="H8" s="13" t="s">
        <v>99</v>
      </c>
      <c r="I8" s="13" t="s">
        <v>100</v>
      </c>
      <c r="J8" s="12" t="s">
        <v>161</v>
      </c>
      <c r="K8" s="12" t="s">
        <v>162</v>
      </c>
      <c r="L8" s="12" t="s">
        <v>163</v>
      </c>
      <c r="M8" s="12" t="s">
        <v>164</v>
      </c>
      <c r="N8" s="12" t="s">
        <v>165</v>
      </c>
      <c r="O8" s="14" t="s">
        <v>106</v>
      </c>
      <c r="P8" s="12" t="s">
        <v>166</v>
      </c>
      <c r="Q8" s="12" t="s">
        <v>167</v>
      </c>
      <c r="R8" s="13" t="s">
        <v>168</v>
      </c>
      <c r="S8" s="12" t="s">
        <v>169</v>
      </c>
      <c r="T8" s="15" t="s">
        <v>170</v>
      </c>
    </row>
    <row r="9" customFormat="false" ht="57.45" hidden="false" customHeight="false" outlineLevel="0" collapsed="false">
      <c r="A9" s="12" t="s">
        <v>93</v>
      </c>
      <c r="B9" s="12" t="s">
        <v>171</v>
      </c>
      <c r="C9" s="13" t="s">
        <v>95</v>
      </c>
      <c r="D9" s="12" t="s">
        <v>172</v>
      </c>
      <c r="E9" s="12" t="s">
        <v>173</v>
      </c>
      <c r="F9" s="13" t="s">
        <v>83</v>
      </c>
      <c r="G9" s="13" t="s">
        <v>99</v>
      </c>
      <c r="H9" s="13" t="s">
        <v>99</v>
      </c>
      <c r="I9" s="13" t="s">
        <v>98</v>
      </c>
      <c r="J9" s="12" t="s">
        <v>174</v>
      </c>
      <c r="K9" s="12" t="s">
        <v>175</v>
      </c>
      <c r="L9" s="12" t="s">
        <v>176</v>
      </c>
      <c r="M9" s="12" t="s">
        <v>177</v>
      </c>
      <c r="N9" s="12" t="s">
        <v>178</v>
      </c>
      <c r="O9" s="14" t="s">
        <v>106</v>
      </c>
      <c r="P9" s="12" t="s">
        <v>179</v>
      </c>
      <c r="Q9" s="12" t="s">
        <v>180</v>
      </c>
      <c r="R9" s="13" t="s">
        <v>109</v>
      </c>
      <c r="S9" s="12" t="s">
        <v>181</v>
      </c>
      <c r="T9" s="15" t="s">
        <v>182</v>
      </c>
    </row>
    <row r="10" customFormat="false" ht="46.25" hidden="false" customHeight="false" outlineLevel="0" collapsed="false">
      <c r="A10" s="12" t="s">
        <v>93</v>
      </c>
      <c r="B10" s="12" t="s">
        <v>183</v>
      </c>
      <c r="C10" s="13" t="s">
        <v>95</v>
      </c>
      <c r="D10" s="12" t="s">
        <v>184</v>
      </c>
      <c r="E10" s="12" t="s">
        <v>185</v>
      </c>
      <c r="F10" s="13" t="s">
        <v>81</v>
      </c>
      <c r="G10" s="13" t="s">
        <v>98</v>
      </c>
      <c r="H10" s="13" t="s">
        <v>100</v>
      </c>
      <c r="I10" s="13" t="s">
        <v>100</v>
      </c>
      <c r="J10" s="12" t="s">
        <v>186</v>
      </c>
      <c r="K10" s="12" t="s">
        <v>187</v>
      </c>
      <c r="L10" s="12" t="s">
        <v>188</v>
      </c>
      <c r="M10" s="12" t="s">
        <v>189</v>
      </c>
      <c r="N10" s="12" t="s">
        <v>190</v>
      </c>
      <c r="O10" s="14" t="s">
        <v>106</v>
      </c>
      <c r="P10" s="12" t="s">
        <v>191</v>
      </c>
      <c r="Q10" s="12" t="s">
        <v>192</v>
      </c>
      <c r="R10" s="13" t="s">
        <v>109</v>
      </c>
      <c r="S10" s="12" t="s">
        <v>193</v>
      </c>
      <c r="T10" s="15" t="s">
        <v>194</v>
      </c>
    </row>
    <row r="11" customFormat="false" ht="23.85" hidden="false" customHeight="false" outlineLevel="0" collapsed="false">
      <c r="A11" s="12" t="s">
        <v>93</v>
      </c>
      <c r="B11" s="12" t="s">
        <v>195</v>
      </c>
      <c r="C11" s="13" t="s">
        <v>95</v>
      </c>
      <c r="D11" s="12"/>
      <c r="E11" s="12" t="s">
        <v>196</v>
      </c>
      <c r="F11" s="13" t="s">
        <v>81</v>
      </c>
      <c r="G11" s="13" t="s">
        <v>98</v>
      </c>
      <c r="H11" s="13" t="s">
        <v>100</v>
      </c>
      <c r="I11" s="13" t="s">
        <v>100</v>
      </c>
      <c r="J11" s="12" t="s">
        <v>197</v>
      </c>
      <c r="K11" s="12"/>
      <c r="L11" s="12"/>
      <c r="M11" s="12" t="s">
        <v>189</v>
      </c>
      <c r="N11" s="12" t="s">
        <v>164</v>
      </c>
      <c r="O11" s="14" t="s">
        <v>106</v>
      </c>
      <c r="P11" s="12" t="s">
        <v>198</v>
      </c>
      <c r="Q11" s="12" t="s">
        <v>199</v>
      </c>
      <c r="R11" s="13" t="s">
        <v>168</v>
      </c>
      <c r="S11" s="12" t="s">
        <v>200</v>
      </c>
      <c r="T11" s="15" t="s">
        <v>194</v>
      </c>
    </row>
    <row r="12" customFormat="false" ht="46.25" hidden="false" customHeight="false" outlineLevel="0" collapsed="false">
      <c r="A12" s="12" t="s">
        <v>93</v>
      </c>
      <c r="B12" s="12" t="s">
        <v>201</v>
      </c>
      <c r="C12" s="13" t="s">
        <v>95</v>
      </c>
      <c r="D12" s="12"/>
      <c r="E12" s="12" t="s">
        <v>202</v>
      </c>
      <c r="F12" s="13" t="s">
        <v>83</v>
      </c>
      <c r="G12" s="13" t="s">
        <v>100</v>
      </c>
      <c r="H12" s="13"/>
      <c r="I12" s="13" t="s">
        <v>98</v>
      </c>
      <c r="J12" s="12" t="s">
        <v>203</v>
      </c>
      <c r="K12" s="12"/>
      <c r="L12" s="12" t="s">
        <v>204</v>
      </c>
      <c r="M12" s="12" t="s">
        <v>104</v>
      </c>
      <c r="N12" s="12" t="s">
        <v>130</v>
      </c>
      <c r="O12" s="14" t="s">
        <v>106</v>
      </c>
      <c r="P12" s="12" t="s">
        <v>205</v>
      </c>
      <c r="Q12" s="12" t="s">
        <v>206</v>
      </c>
      <c r="R12" s="13" t="s">
        <v>109</v>
      </c>
      <c r="S12" s="12" t="s">
        <v>207</v>
      </c>
      <c r="T12" s="15" t="s">
        <v>111</v>
      </c>
    </row>
    <row r="13" customFormat="false" ht="35.05" hidden="false" customHeight="false" outlineLevel="0" collapsed="false">
      <c r="A13" s="12" t="s">
        <v>93</v>
      </c>
      <c r="B13" s="12" t="s">
        <v>208</v>
      </c>
      <c r="C13" s="13" t="s">
        <v>95</v>
      </c>
      <c r="D13" s="12"/>
      <c r="E13" s="12" t="s">
        <v>209</v>
      </c>
      <c r="F13" s="13" t="s">
        <v>83</v>
      </c>
      <c r="G13" s="13"/>
      <c r="H13" s="13" t="s">
        <v>100</v>
      </c>
      <c r="I13" s="13" t="s">
        <v>98</v>
      </c>
      <c r="J13" s="12"/>
      <c r="K13" s="12" t="s">
        <v>210</v>
      </c>
      <c r="L13" s="12" t="s">
        <v>211</v>
      </c>
      <c r="M13" s="12" t="s">
        <v>212</v>
      </c>
      <c r="N13" s="12" t="s">
        <v>213</v>
      </c>
      <c r="O13" s="14" t="s">
        <v>106</v>
      </c>
      <c r="P13" s="12" t="s">
        <v>214</v>
      </c>
      <c r="Q13" s="12" t="s">
        <v>215</v>
      </c>
      <c r="R13" s="13" t="s">
        <v>109</v>
      </c>
      <c r="S13" s="12" t="s">
        <v>216</v>
      </c>
      <c r="T13" s="15" t="s">
        <v>170</v>
      </c>
    </row>
    <row r="14" customFormat="false" ht="46.25" hidden="false" customHeight="false" outlineLevel="0" collapsed="false">
      <c r="A14" s="12" t="s">
        <v>93</v>
      </c>
      <c r="B14" s="12" t="s">
        <v>217</v>
      </c>
      <c r="C14" s="13" t="s">
        <v>95</v>
      </c>
      <c r="D14" s="12"/>
      <c r="E14" s="12" t="s">
        <v>218</v>
      </c>
      <c r="F14" s="13" t="s">
        <v>83</v>
      </c>
      <c r="G14" s="13" t="s">
        <v>99</v>
      </c>
      <c r="H14" s="13" t="s">
        <v>99</v>
      </c>
      <c r="I14" s="13" t="s">
        <v>98</v>
      </c>
      <c r="J14" s="12" t="s">
        <v>219</v>
      </c>
      <c r="K14" s="12" t="s">
        <v>220</v>
      </c>
      <c r="L14" s="12" t="s">
        <v>221</v>
      </c>
      <c r="M14" s="12" t="s">
        <v>177</v>
      </c>
      <c r="N14" s="12" t="s">
        <v>178</v>
      </c>
      <c r="O14" s="14" t="s">
        <v>106</v>
      </c>
      <c r="P14" s="12" t="s">
        <v>205</v>
      </c>
      <c r="Q14" s="12" t="s">
        <v>222</v>
      </c>
      <c r="R14" s="13" t="s">
        <v>109</v>
      </c>
      <c r="S14" s="12" t="s">
        <v>223</v>
      </c>
      <c r="T14" s="15" t="s">
        <v>170</v>
      </c>
    </row>
    <row r="15" customFormat="false" ht="26.85" hidden="false" customHeight="false" outlineLevel="0" collapsed="false">
      <c r="A15" s="11" t="s">
        <v>224</v>
      </c>
      <c r="B15" s="11"/>
      <c r="C15" s="11"/>
      <c r="D15" s="11"/>
      <c r="E15" s="11"/>
      <c r="F15" s="11"/>
      <c r="G15" s="11"/>
      <c r="H15" s="11"/>
      <c r="I15" s="11"/>
      <c r="J15" s="11"/>
      <c r="K15" s="11"/>
      <c r="L15" s="11"/>
      <c r="M15" s="11"/>
      <c r="N15" s="11"/>
      <c r="O15" s="11"/>
      <c r="P15" s="11"/>
      <c r="Q15" s="11"/>
      <c r="R15" s="11"/>
      <c r="S15" s="11"/>
      <c r="T15" s="11"/>
    </row>
    <row r="16" customFormat="false" ht="35.05" hidden="false" customHeight="false" outlineLevel="0" collapsed="false">
      <c r="A16" s="12" t="s">
        <v>224</v>
      </c>
      <c r="B16" s="12" t="s">
        <v>225</v>
      </c>
      <c r="C16" s="13" t="s">
        <v>95</v>
      </c>
      <c r="D16" s="12" t="s">
        <v>226</v>
      </c>
      <c r="E16" s="12" t="s">
        <v>227</v>
      </c>
      <c r="F16" s="13" t="s">
        <v>81</v>
      </c>
      <c r="G16" s="13" t="s">
        <v>98</v>
      </c>
      <c r="H16" s="13" t="s">
        <v>100</v>
      </c>
      <c r="I16" s="13" t="s">
        <v>100</v>
      </c>
      <c r="J16" s="12" t="s">
        <v>228</v>
      </c>
      <c r="K16" s="12" t="s">
        <v>229</v>
      </c>
      <c r="L16" s="12" t="s">
        <v>230</v>
      </c>
      <c r="M16" s="12" t="s">
        <v>104</v>
      </c>
      <c r="N16" s="12" t="s">
        <v>130</v>
      </c>
      <c r="O16" s="14" t="s">
        <v>106</v>
      </c>
      <c r="P16" s="12" t="s">
        <v>231</v>
      </c>
      <c r="Q16" s="12" t="s">
        <v>232</v>
      </c>
      <c r="R16" s="13" t="s">
        <v>168</v>
      </c>
      <c r="S16" s="12" t="s">
        <v>233</v>
      </c>
      <c r="T16" s="15" t="s">
        <v>170</v>
      </c>
    </row>
    <row r="17" customFormat="false" ht="35.05" hidden="false" customHeight="false" outlineLevel="0" collapsed="false">
      <c r="A17" s="12" t="s">
        <v>224</v>
      </c>
      <c r="B17" s="12" t="s">
        <v>234</v>
      </c>
      <c r="C17" s="13" t="s">
        <v>95</v>
      </c>
      <c r="D17" s="12" t="s">
        <v>235</v>
      </c>
      <c r="E17" s="12" t="s">
        <v>236</v>
      </c>
      <c r="F17" s="13" t="s">
        <v>82</v>
      </c>
      <c r="G17" s="13"/>
      <c r="H17" s="13" t="s">
        <v>98</v>
      </c>
      <c r="I17" s="13" t="s">
        <v>100</v>
      </c>
      <c r="J17" s="12"/>
      <c r="K17" s="12" t="s">
        <v>237</v>
      </c>
      <c r="L17" s="12"/>
      <c r="M17" s="12" t="s">
        <v>189</v>
      </c>
      <c r="N17" s="12" t="s">
        <v>130</v>
      </c>
      <c r="O17" s="14" t="s">
        <v>106</v>
      </c>
      <c r="P17" s="12" t="s">
        <v>238</v>
      </c>
      <c r="Q17" s="12" t="s">
        <v>239</v>
      </c>
      <c r="R17" s="13" t="s">
        <v>168</v>
      </c>
      <c r="S17" s="12" t="s">
        <v>240</v>
      </c>
      <c r="T17" s="15" t="s">
        <v>170</v>
      </c>
    </row>
    <row r="18" customFormat="false" ht="35.05" hidden="false" customHeight="false" outlineLevel="0" collapsed="false">
      <c r="A18" s="12" t="s">
        <v>224</v>
      </c>
      <c r="B18" s="12" t="s">
        <v>241</v>
      </c>
      <c r="C18" s="13" t="s">
        <v>95</v>
      </c>
      <c r="D18" s="12"/>
      <c r="E18" s="12" t="s">
        <v>242</v>
      </c>
      <c r="F18" s="13" t="s">
        <v>81</v>
      </c>
      <c r="G18" s="13" t="s">
        <v>98</v>
      </c>
      <c r="H18" s="13" t="s">
        <v>100</v>
      </c>
      <c r="I18" s="13"/>
      <c r="J18" s="12" t="s">
        <v>243</v>
      </c>
      <c r="K18" s="12"/>
      <c r="L18" s="12" t="s">
        <v>229</v>
      </c>
      <c r="M18" s="12" t="s">
        <v>244</v>
      </c>
      <c r="N18" s="12" t="s">
        <v>244</v>
      </c>
      <c r="O18" s="13" t="s">
        <v>244</v>
      </c>
      <c r="P18" s="12"/>
      <c r="Q18" s="12" t="s">
        <v>245</v>
      </c>
      <c r="R18" s="13" t="s">
        <v>109</v>
      </c>
      <c r="S18" s="12" t="s">
        <v>246</v>
      </c>
      <c r="T18" s="15" t="s">
        <v>170</v>
      </c>
    </row>
    <row r="19" customFormat="false" ht="23.85" hidden="false" customHeight="false" outlineLevel="0" collapsed="false">
      <c r="A19" s="12" t="s">
        <v>224</v>
      </c>
      <c r="B19" s="12" t="s">
        <v>247</v>
      </c>
      <c r="C19" s="13" t="s">
        <v>95</v>
      </c>
      <c r="D19" s="12"/>
      <c r="E19" s="12" t="s">
        <v>248</v>
      </c>
      <c r="F19" s="13" t="s">
        <v>83</v>
      </c>
      <c r="G19" s="13" t="s">
        <v>100</v>
      </c>
      <c r="H19" s="13"/>
      <c r="I19" s="13" t="s">
        <v>98</v>
      </c>
      <c r="J19" s="12" t="s">
        <v>249</v>
      </c>
      <c r="K19" s="12"/>
      <c r="L19" s="12" t="s">
        <v>250</v>
      </c>
      <c r="M19" s="12" t="s">
        <v>189</v>
      </c>
      <c r="N19" s="12" t="s">
        <v>130</v>
      </c>
      <c r="O19" s="14" t="s">
        <v>106</v>
      </c>
      <c r="P19" s="12" t="s">
        <v>238</v>
      </c>
      <c r="Q19" s="12" t="s">
        <v>251</v>
      </c>
      <c r="R19" s="13" t="s">
        <v>168</v>
      </c>
      <c r="S19" s="12" t="s">
        <v>252</v>
      </c>
      <c r="T19" s="15" t="s">
        <v>170</v>
      </c>
    </row>
    <row r="20" customFormat="false" ht="23.85" hidden="false" customHeight="false" outlineLevel="0" collapsed="false">
      <c r="A20" s="12" t="s">
        <v>224</v>
      </c>
      <c r="B20" s="12" t="s">
        <v>253</v>
      </c>
      <c r="C20" s="13" t="s">
        <v>95</v>
      </c>
      <c r="D20" s="12"/>
      <c r="E20" s="12" t="s">
        <v>254</v>
      </c>
      <c r="F20" s="13" t="s">
        <v>83</v>
      </c>
      <c r="G20" s="13" t="s">
        <v>100</v>
      </c>
      <c r="H20" s="13" t="s">
        <v>100</v>
      </c>
      <c r="I20" s="13" t="s">
        <v>98</v>
      </c>
      <c r="J20" s="12" t="s">
        <v>255</v>
      </c>
      <c r="K20" s="12" t="s">
        <v>256</v>
      </c>
      <c r="L20" s="12" t="s">
        <v>257</v>
      </c>
      <c r="M20" s="12" t="s">
        <v>189</v>
      </c>
      <c r="N20" s="12" t="s">
        <v>130</v>
      </c>
      <c r="O20" s="14" t="s">
        <v>106</v>
      </c>
      <c r="P20" s="12" t="s">
        <v>258</v>
      </c>
      <c r="Q20" s="12" t="s">
        <v>259</v>
      </c>
      <c r="R20" s="13" t="s">
        <v>260</v>
      </c>
      <c r="S20" s="12" t="s">
        <v>261</v>
      </c>
      <c r="T20" s="15" t="s">
        <v>170</v>
      </c>
    </row>
    <row r="21" customFormat="false" ht="23.85" hidden="false" customHeight="false" outlineLevel="0" collapsed="false">
      <c r="A21" s="12" t="s">
        <v>224</v>
      </c>
      <c r="B21" s="12" t="s">
        <v>262</v>
      </c>
      <c r="C21" s="13" t="s">
        <v>95</v>
      </c>
      <c r="D21" s="12"/>
      <c r="E21" s="12" t="s">
        <v>263</v>
      </c>
      <c r="F21" s="13" t="s">
        <v>82</v>
      </c>
      <c r="G21" s="13"/>
      <c r="H21" s="13" t="s">
        <v>98</v>
      </c>
      <c r="I21" s="13"/>
      <c r="J21" s="12"/>
      <c r="K21" s="12" t="s">
        <v>264</v>
      </c>
      <c r="L21" s="12"/>
      <c r="M21" s="12" t="s">
        <v>189</v>
      </c>
      <c r="N21" s="12" t="s">
        <v>265</v>
      </c>
      <c r="O21" s="14" t="s">
        <v>106</v>
      </c>
      <c r="P21" s="12" t="s">
        <v>266</v>
      </c>
      <c r="Q21" s="12" t="s">
        <v>267</v>
      </c>
      <c r="R21" s="13" t="s">
        <v>168</v>
      </c>
      <c r="S21" s="12" t="s">
        <v>261</v>
      </c>
      <c r="T21" s="15" t="s">
        <v>170</v>
      </c>
    </row>
    <row r="22" customFormat="false" ht="23.85" hidden="false" customHeight="false" outlineLevel="0" collapsed="false">
      <c r="A22" s="12" t="s">
        <v>224</v>
      </c>
      <c r="B22" s="12" t="s">
        <v>268</v>
      </c>
      <c r="C22" s="13" t="s">
        <v>95</v>
      </c>
      <c r="D22" s="12"/>
      <c r="E22" s="12" t="s">
        <v>269</v>
      </c>
      <c r="F22" s="13" t="s">
        <v>82</v>
      </c>
      <c r="G22" s="13" t="s">
        <v>100</v>
      </c>
      <c r="H22" s="13" t="s">
        <v>98</v>
      </c>
      <c r="I22" s="13"/>
      <c r="J22" s="12" t="s">
        <v>270</v>
      </c>
      <c r="K22" s="12"/>
      <c r="L22" s="12"/>
      <c r="M22" s="12" t="s">
        <v>189</v>
      </c>
      <c r="N22" s="12" t="s">
        <v>130</v>
      </c>
      <c r="O22" s="14" t="s">
        <v>106</v>
      </c>
      <c r="P22" s="12"/>
      <c r="Q22" s="12" t="s">
        <v>271</v>
      </c>
      <c r="R22" s="13" t="s">
        <v>260</v>
      </c>
      <c r="S22" s="12" t="s">
        <v>272</v>
      </c>
      <c r="T22" s="15" t="s">
        <v>273</v>
      </c>
    </row>
    <row r="23" customFormat="false" ht="23.85" hidden="false" customHeight="false" outlineLevel="0" collapsed="false">
      <c r="A23" s="12" t="s">
        <v>224</v>
      </c>
      <c r="B23" s="12" t="s">
        <v>274</v>
      </c>
      <c r="C23" s="13" t="s">
        <v>95</v>
      </c>
      <c r="D23" s="12" t="s">
        <v>275</v>
      </c>
      <c r="E23" s="12" t="s">
        <v>276</v>
      </c>
      <c r="F23" s="13" t="s">
        <v>82</v>
      </c>
      <c r="G23" s="13" t="s">
        <v>100</v>
      </c>
      <c r="H23" s="13" t="s">
        <v>98</v>
      </c>
      <c r="I23" s="13" t="s">
        <v>100</v>
      </c>
      <c r="J23" s="12" t="s">
        <v>270</v>
      </c>
      <c r="K23" s="12" t="s">
        <v>277</v>
      </c>
      <c r="L23" s="12" t="s">
        <v>278</v>
      </c>
      <c r="M23" s="12" t="s">
        <v>189</v>
      </c>
      <c r="N23" s="12" t="s">
        <v>130</v>
      </c>
      <c r="O23" s="14" t="s">
        <v>106</v>
      </c>
      <c r="P23" s="12"/>
      <c r="Q23" s="12" t="s">
        <v>279</v>
      </c>
      <c r="R23" s="13" t="s">
        <v>168</v>
      </c>
      <c r="S23" s="12" t="s">
        <v>280</v>
      </c>
      <c r="T23" s="15" t="s">
        <v>170</v>
      </c>
    </row>
    <row r="24" customFormat="false" ht="23.85" hidden="false" customHeight="false" outlineLevel="0" collapsed="false">
      <c r="A24" s="12" t="s">
        <v>224</v>
      </c>
      <c r="B24" s="12" t="s">
        <v>281</v>
      </c>
      <c r="C24" s="13" t="s">
        <v>95</v>
      </c>
      <c r="D24" s="12"/>
      <c r="E24" s="12" t="s">
        <v>282</v>
      </c>
      <c r="F24" s="13" t="s">
        <v>81</v>
      </c>
      <c r="G24" s="13" t="s">
        <v>98</v>
      </c>
      <c r="H24" s="13"/>
      <c r="I24" s="13"/>
      <c r="J24" s="12" t="s">
        <v>283</v>
      </c>
      <c r="K24" s="12"/>
      <c r="L24" s="12"/>
      <c r="M24" s="12" t="s">
        <v>189</v>
      </c>
      <c r="N24" s="12" t="s">
        <v>130</v>
      </c>
      <c r="O24" s="14" t="s">
        <v>106</v>
      </c>
      <c r="P24" s="12"/>
      <c r="Q24" s="12" t="s">
        <v>284</v>
      </c>
      <c r="R24" s="13" t="s">
        <v>168</v>
      </c>
      <c r="S24" s="12" t="s">
        <v>285</v>
      </c>
      <c r="T24" s="15" t="s">
        <v>170</v>
      </c>
    </row>
    <row r="25" customFormat="false" ht="23.85" hidden="false" customHeight="false" outlineLevel="0" collapsed="false">
      <c r="A25" s="12" t="s">
        <v>224</v>
      </c>
      <c r="B25" s="12" t="s">
        <v>286</v>
      </c>
      <c r="C25" s="13" t="s">
        <v>95</v>
      </c>
      <c r="D25" s="12"/>
      <c r="E25" s="12" t="s">
        <v>287</v>
      </c>
      <c r="F25" s="13" t="s">
        <v>83</v>
      </c>
      <c r="G25" s="13"/>
      <c r="H25" s="13"/>
      <c r="I25" s="13" t="s">
        <v>98</v>
      </c>
      <c r="J25" s="12"/>
      <c r="K25" s="12"/>
      <c r="L25" s="12" t="s">
        <v>288</v>
      </c>
      <c r="M25" s="12" t="s">
        <v>189</v>
      </c>
      <c r="N25" s="12" t="s">
        <v>130</v>
      </c>
      <c r="O25" s="14" t="s">
        <v>106</v>
      </c>
      <c r="P25" s="12"/>
      <c r="Q25" s="12" t="s">
        <v>289</v>
      </c>
      <c r="R25" s="13" t="s">
        <v>168</v>
      </c>
      <c r="S25" s="12" t="s">
        <v>290</v>
      </c>
      <c r="T25" s="15" t="s">
        <v>170</v>
      </c>
    </row>
    <row r="26" customFormat="false" ht="35.05" hidden="false" customHeight="false" outlineLevel="0" collapsed="false">
      <c r="A26" s="12" t="s">
        <v>224</v>
      </c>
      <c r="B26" s="12" t="s">
        <v>291</v>
      </c>
      <c r="C26" s="13" t="s">
        <v>95</v>
      </c>
      <c r="D26" s="12"/>
      <c r="E26" s="12" t="s">
        <v>292</v>
      </c>
      <c r="F26" s="13" t="s">
        <v>81</v>
      </c>
      <c r="G26" s="13" t="s">
        <v>98</v>
      </c>
      <c r="H26" s="13" t="s">
        <v>100</v>
      </c>
      <c r="I26" s="13"/>
      <c r="J26" s="12" t="s">
        <v>293</v>
      </c>
      <c r="K26" s="12" t="s">
        <v>294</v>
      </c>
      <c r="L26" s="12"/>
      <c r="M26" s="12" t="s">
        <v>104</v>
      </c>
      <c r="N26" s="12" t="s">
        <v>130</v>
      </c>
      <c r="O26" s="14" t="s">
        <v>106</v>
      </c>
      <c r="P26" s="12" t="s">
        <v>205</v>
      </c>
      <c r="Q26" s="12" t="s">
        <v>295</v>
      </c>
      <c r="R26" s="13" t="s">
        <v>168</v>
      </c>
      <c r="S26" s="12" t="s">
        <v>296</v>
      </c>
      <c r="T26" s="15" t="s">
        <v>170</v>
      </c>
    </row>
    <row r="27" customFormat="false" ht="35.05" hidden="false" customHeight="false" outlineLevel="0" collapsed="false">
      <c r="A27" s="12" t="s">
        <v>224</v>
      </c>
      <c r="B27" s="12" t="s">
        <v>297</v>
      </c>
      <c r="C27" s="13" t="s">
        <v>95</v>
      </c>
      <c r="D27" s="12" t="s">
        <v>298</v>
      </c>
      <c r="E27" s="12" t="s">
        <v>248</v>
      </c>
      <c r="F27" s="13" t="s">
        <v>81</v>
      </c>
      <c r="G27" s="13" t="s">
        <v>98</v>
      </c>
      <c r="H27" s="13"/>
      <c r="I27" s="13" t="s">
        <v>114</v>
      </c>
      <c r="J27" s="12" t="s">
        <v>299</v>
      </c>
      <c r="K27" s="12"/>
      <c r="L27" s="12" t="s">
        <v>300</v>
      </c>
      <c r="M27" s="12" t="s">
        <v>189</v>
      </c>
      <c r="N27" s="12" t="s">
        <v>130</v>
      </c>
      <c r="O27" s="14" t="s">
        <v>106</v>
      </c>
      <c r="P27" s="12"/>
      <c r="Q27" s="12" t="s">
        <v>301</v>
      </c>
      <c r="R27" s="13" t="s">
        <v>168</v>
      </c>
      <c r="S27" s="12" t="s">
        <v>285</v>
      </c>
      <c r="T27" s="15" t="s">
        <v>170</v>
      </c>
    </row>
    <row r="28" customFormat="false" ht="35.05" hidden="false" customHeight="false" outlineLevel="0" collapsed="false">
      <c r="A28" s="12" t="s">
        <v>224</v>
      </c>
      <c r="B28" s="12" t="s">
        <v>302</v>
      </c>
      <c r="C28" s="13" t="s">
        <v>303</v>
      </c>
      <c r="D28" s="12"/>
      <c r="E28" s="12" t="s">
        <v>304</v>
      </c>
      <c r="F28" s="13" t="s">
        <v>82</v>
      </c>
      <c r="G28" s="13" t="s">
        <v>100</v>
      </c>
      <c r="H28" s="13" t="s">
        <v>98</v>
      </c>
      <c r="I28" s="13"/>
      <c r="J28" s="12" t="s">
        <v>305</v>
      </c>
      <c r="K28" s="12" t="s">
        <v>306</v>
      </c>
      <c r="L28" s="12"/>
      <c r="M28" s="12" t="s">
        <v>177</v>
      </c>
      <c r="N28" s="12" t="s">
        <v>178</v>
      </c>
      <c r="O28" s="13" t="s">
        <v>307</v>
      </c>
      <c r="P28" s="12"/>
      <c r="Q28" s="12" t="s">
        <v>308</v>
      </c>
      <c r="R28" s="13" t="s">
        <v>168</v>
      </c>
      <c r="S28" s="12" t="s">
        <v>309</v>
      </c>
      <c r="T28" s="15" t="s">
        <v>170</v>
      </c>
    </row>
    <row r="29" customFormat="false" ht="23.85" hidden="false" customHeight="false" outlineLevel="0" collapsed="false">
      <c r="A29" s="12" t="s">
        <v>224</v>
      </c>
      <c r="B29" s="12" t="s">
        <v>310</v>
      </c>
      <c r="C29" s="13" t="s">
        <v>303</v>
      </c>
      <c r="D29" s="12"/>
      <c r="E29" s="12" t="s">
        <v>311</v>
      </c>
      <c r="F29" s="13" t="s">
        <v>82</v>
      </c>
      <c r="G29" s="13"/>
      <c r="H29" s="13" t="s">
        <v>98</v>
      </c>
      <c r="I29" s="13"/>
      <c r="J29" s="12"/>
      <c r="K29" s="12" t="s">
        <v>312</v>
      </c>
      <c r="L29" s="12"/>
      <c r="M29" s="12" t="s">
        <v>189</v>
      </c>
      <c r="N29" s="12" t="s">
        <v>130</v>
      </c>
      <c r="O29" s="14" t="s">
        <v>106</v>
      </c>
      <c r="P29" s="12"/>
      <c r="Q29" s="12" t="s">
        <v>313</v>
      </c>
      <c r="R29" s="13" t="s">
        <v>260</v>
      </c>
      <c r="S29" s="12" t="s">
        <v>290</v>
      </c>
      <c r="T29" s="15" t="s">
        <v>170</v>
      </c>
    </row>
    <row r="30" customFormat="false" ht="46.25" hidden="false" customHeight="false" outlineLevel="0" collapsed="false">
      <c r="A30" s="12" t="s">
        <v>224</v>
      </c>
      <c r="B30" s="12" t="s">
        <v>314</v>
      </c>
      <c r="C30" s="13" t="s">
        <v>303</v>
      </c>
      <c r="D30" s="12"/>
      <c r="E30" s="12" t="s">
        <v>315</v>
      </c>
      <c r="F30" s="13" t="s">
        <v>81</v>
      </c>
      <c r="G30" s="13" t="s">
        <v>98</v>
      </c>
      <c r="H30" s="13"/>
      <c r="I30" s="13"/>
      <c r="J30" s="12" t="s">
        <v>316</v>
      </c>
      <c r="K30" s="12"/>
      <c r="L30" s="12"/>
      <c r="M30" s="12" t="s">
        <v>189</v>
      </c>
      <c r="N30" s="12" t="s">
        <v>130</v>
      </c>
      <c r="O30" s="14" t="s">
        <v>106</v>
      </c>
      <c r="P30" s="12"/>
      <c r="Q30" s="12" t="s">
        <v>317</v>
      </c>
      <c r="R30" s="13" t="s">
        <v>168</v>
      </c>
      <c r="S30" s="12" t="s">
        <v>318</v>
      </c>
      <c r="T30" s="15" t="s">
        <v>170</v>
      </c>
    </row>
    <row r="31" customFormat="false" ht="23.85" hidden="false" customHeight="false" outlineLevel="0" collapsed="false">
      <c r="A31" s="12" t="s">
        <v>224</v>
      </c>
      <c r="B31" s="12" t="s">
        <v>319</v>
      </c>
      <c r="C31" s="13" t="s">
        <v>303</v>
      </c>
      <c r="D31" s="12"/>
      <c r="E31" s="12" t="s">
        <v>320</v>
      </c>
      <c r="F31" s="13" t="s">
        <v>321</v>
      </c>
      <c r="G31" s="13"/>
      <c r="H31" s="13"/>
      <c r="I31" s="13"/>
      <c r="J31" s="12"/>
      <c r="K31" s="12"/>
      <c r="L31" s="12"/>
      <c r="M31" s="12" t="s">
        <v>189</v>
      </c>
      <c r="N31" s="12" t="s">
        <v>130</v>
      </c>
      <c r="O31" s="14" t="s">
        <v>106</v>
      </c>
      <c r="P31" s="12"/>
      <c r="Q31" s="12" t="s">
        <v>322</v>
      </c>
      <c r="R31" s="13" t="s">
        <v>260</v>
      </c>
      <c r="S31" s="12" t="s">
        <v>323</v>
      </c>
      <c r="T31" s="15" t="s">
        <v>324</v>
      </c>
    </row>
    <row r="32" customFormat="false" ht="23.85" hidden="false" customHeight="false" outlineLevel="0" collapsed="false">
      <c r="A32" s="12" t="s">
        <v>224</v>
      </c>
      <c r="B32" s="12" t="s">
        <v>325</v>
      </c>
      <c r="C32" s="13" t="s">
        <v>95</v>
      </c>
      <c r="D32" s="12"/>
      <c r="E32" s="12" t="s">
        <v>326</v>
      </c>
      <c r="F32" s="13" t="s">
        <v>327</v>
      </c>
      <c r="G32" s="13"/>
      <c r="H32" s="13"/>
      <c r="I32" s="13" t="s">
        <v>99</v>
      </c>
      <c r="J32" s="12"/>
      <c r="K32" s="12"/>
      <c r="L32" s="12" t="s">
        <v>328</v>
      </c>
      <c r="M32" s="12" t="s">
        <v>244</v>
      </c>
      <c r="N32" s="12" t="s">
        <v>244</v>
      </c>
      <c r="O32" s="14" t="s">
        <v>106</v>
      </c>
      <c r="P32" s="12"/>
      <c r="Q32" s="12" t="s">
        <v>329</v>
      </c>
      <c r="R32" s="13" t="s">
        <v>260</v>
      </c>
      <c r="S32" s="12" t="s">
        <v>330</v>
      </c>
      <c r="T32" s="12" t="s">
        <v>331</v>
      </c>
    </row>
    <row r="33" customFormat="false" ht="35.05" hidden="false" customHeight="false" outlineLevel="0" collapsed="false">
      <c r="A33" s="12" t="s">
        <v>224</v>
      </c>
      <c r="B33" s="12" t="s">
        <v>332</v>
      </c>
      <c r="C33" s="13" t="s">
        <v>95</v>
      </c>
      <c r="D33" s="12" t="s">
        <v>333</v>
      </c>
      <c r="E33" s="12" t="s">
        <v>334</v>
      </c>
      <c r="F33" s="13" t="s">
        <v>327</v>
      </c>
      <c r="G33" s="13" t="s">
        <v>99</v>
      </c>
      <c r="H33" s="13"/>
      <c r="I33" s="13" t="s">
        <v>99</v>
      </c>
      <c r="J33" s="12" t="s">
        <v>229</v>
      </c>
      <c r="K33" s="12"/>
      <c r="L33" s="12"/>
      <c r="M33" s="12" t="s">
        <v>244</v>
      </c>
      <c r="N33" s="12" t="s">
        <v>244</v>
      </c>
      <c r="O33" s="14" t="s">
        <v>106</v>
      </c>
      <c r="P33" s="12"/>
      <c r="Q33" s="12" t="s">
        <v>335</v>
      </c>
      <c r="R33" s="13" t="s">
        <v>260</v>
      </c>
      <c r="S33" s="12" t="s">
        <v>336</v>
      </c>
      <c r="T33" s="12" t="s">
        <v>331</v>
      </c>
    </row>
    <row r="34" customFormat="false" ht="23.85" hidden="false" customHeight="false" outlineLevel="0" collapsed="false">
      <c r="A34" s="12" t="s">
        <v>224</v>
      </c>
      <c r="B34" s="12" t="s">
        <v>337</v>
      </c>
      <c r="C34" s="13" t="s">
        <v>95</v>
      </c>
      <c r="D34" s="12"/>
      <c r="E34" s="12" t="s">
        <v>338</v>
      </c>
      <c r="F34" s="13" t="s">
        <v>327</v>
      </c>
      <c r="G34" s="13" t="s">
        <v>99</v>
      </c>
      <c r="H34" s="13"/>
      <c r="I34" s="13"/>
      <c r="J34" s="12" t="s">
        <v>270</v>
      </c>
      <c r="K34" s="12"/>
      <c r="L34" s="12"/>
      <c r="M34" s="12" t="s">
        <v>244</v>
      </c>
      <c r="N34" s="12" t="s">
        <v>244</v>
      </c>
      <c r="O34" s="13" t="s">
        <v>307</v>
      </c>
      <c r="P34" s="12"/>
      <c r="Q34" s="12" t="s">
        <v>339</v>
      </c>
      <c r="R34" s="13" t="s">
        <v>260</v>
      </c>
      <c r="S34" s="12" t="s">
        <v>330</v>
      </c>
      <c r="T34" s="12" t="s">
        <v>331</v>
      </c>
    </row>
    <row r="35" customFormat="false" ht="35.05" hidden="false" customHeight="false" outlineLevel="0" collapsed="false">
      <c r="A35" s="12" t="s">
        <v>224</v>
      </c>
      <c r="B35" s="12" t="s">
        <v>340</v>
      </c>
      <c r="C35" s="13" t="s">
        <v>95</v>
      </c>
      <c r="D35" s="12"/>
      <c r="E35" s="12" t="s">
        <v>341</v>
      </c>
      <c r="F35" s="13" t="s">
        <v>327</v>
      </c>
      <c r="G35" s="13"/>
      <c r="H35" s="13"/>
      <c r="I35" s="13" t="s">
        <v>99</v>
      </c>
      <c r="J35" s="12"/>
      <c r="K35" s="12"/>
      <c r="L35" s="12" t="s">
        <v>229</v>
      </c>
      <c r="M35" s="12" t="s">
        <v>244</v>
      </c>
      <c r="N35" s="12" t="s">
        <v>244</v>
      </c>
      <c r="O35" s="13" t="s">
        <v>307</v>
      </c>
      <c r="P35" s="12"/>
      <c r="Q35" s="12" t="s">
        <v>342</v>
      </c>
      <c r="R35" s="13" t="s">
        <v>260</v>
      </c>
      <c r="S35" s="12" t="s">
        <v>343</v>
      </c>
      <c r="T35" s="12" t="s">
        <v>331</v>
      </c>
    </row>
    <row r="36" customFormat="false" ht="15" hidden="false" customHeight="false" outlineLevel="0" collapsed="false">
      <c r="A36" s="11" t="s">
        <v>344</v>
      </c>
      <c r="B36" s="11"/>
      <c r="C36" s="11"/>
      <c r="D36" s="11"/>
      <c r="E36" s="11"/>
      <c r="F36" s="11"/>
      <c r="G36" s="11"/>
      <c r="H36" s="11"/>
      <c r="I36" s="11"/>
      <c r="J36" s="11"/>
      <c r="K36" s="11"/>
      <c r="L36" s="11"/>
      <c r="M36" s="11"/>
      <c r="N36" s="11"/>
      <c r="O36" s="11"/>
      <c r="P36" s="11"/>
      <c r="Q36" s="11"/>
      <c r="R36" s="11"/>
      <c r="S36" s="11"/>
      <c r="T36" s="11"/>
    </row>
    <row r="37" customFormat="false" ht="68.65" hidden="false" customHeight="false" outlineLevel="0" collapsed="false">
      <c r="A37" s="12" t="s">
        <v>344</v>
      </c>
      <c r="B37" s="12" t="s">
        <v>345</v>
      </c>
      <c r="C37" s="13" t="s">
        <v>95</v>
      </c>
      <c r="D37" s="12" t="s">
        <v>346</v>
      </c>
      <c r="E37" s="12" t="s">
        <v>347</v>
      </c>
      <c r="F37" s="13" t="s">
        <v>83</v>
      </c>
      <c r="G37" s="13" t="s">
        <v>100</v>
      </c>
      <c r="H37" s="13" t="s">
        <v>99</v>
      </c>
      <c r="I37" s="13" t="s">
        <v>98</v>
      </c>
      <c r="J37" s="12" t="s">
        <v>348</v>
      </c>
      <c r="K37" s="12" t="s">
        <v>349</v>
      </c>
      <c r="L37" s="12" t="s">
        <v>350</v>
      </c>
      <c r="M37" s="12" t="s">
        <v>351</v>
      </c>
      <c r="N37" s="12" t="s">
        <v>352</v>
      </c>
      <c r="O37" s="14" t="s">
        <v>106</v>
      </c>
      <c r="P37" s="12" t="s">
        <v>353</v>
      </c>
      <c r="Q37" s="12" t="s">
        <v>354</v>
      </c>
      <c r="R37" s="13" t="s">
        <v>109</v>
      </c>
      <c r="S37" s="12" t="s">
        <v>355</v>
      </c>
      <c r="T37" s="15" t="s">
        <v>170</v>
      </c>
    </row>
    <row r="38" customFormat="false" ht="23.85" hidden="false" customHeight="false" outlineLevel="0" collapsed="false">
      <c r="A38" s="12" t="s">
        <v>344</v>
      </c>
      <c r="B38" s="12" t="s">
        <v>356</v>
      </c>
      <c r="C38" s="13" t="s">
        <v>95</v>
      </c>
      <c r="D38" s="12" t="s">
        <v>357</v>
      </c>
      <c r="E38" s="12" t="s">
        <v>358</v>
      </c>
      <c r="F38" s="13" t="s">
        <v>82</v>
      </c>
      <c r="G38" s="13"/>
      <c r="H38" s="13" t="s">
        <v>98</v>
      </c>
      <c r="I38" s="13" t="s">
        <v>114</v>
      </c>
      <c r="J38" s="12"/>
      <c r="K38" s="12" t="s">
        <v>359</v>
      </c>
      <c r="L38" s="12" t="s">
        <v>300</v>
      </c>
      <c r="M38" s="12" t="s">
        <v>189</v>
      </c>
      <c r="N38" s="12" t="s">
        <v>360</v>
      </c>
      <c r="O38" s="14" t="s">
        <v>106</v>
      </c>
      <c r="P38" s="12" t="s">
        <v>361</v>
      </c>
      <c r="Q38" s="12" t="s">
        <v>362</v>
      </c>
      <c r="R38" s="13" t="s">
        <v>109</v>
      </c>
      <c r="S38" s="12" t="s">
        <v>363</v>
      </c>
      <c r="T38" s="15" t="s">
        <v>170</v>
      </c>
    </row>
    <row r="39" customFormat="false" ht="15" hidden="false" customHeight="false" outlineLevel="0" collapsed="false">
      <c r="A39" s="12" t="s">
        <v>344</v>
      </c>
      <c r="B39" s="12" t="s">
        <v>364</v>
      </c>
      <c r="C39" s="13" t="s">
        <v>303</v>
      </c>
      <c r="D39" s="12"/>
      <c r="E39" s="12" t="s">
        <v>365</v>
      </c>
      <c r="F39" s="13" t="s">
        <v>82</v>
      </c>
      <c r="G39" s="13" t="s">
        <v>100</v>
      </c>
      <c r="H39" s="13" t="s">
        <v>98</v>
      </c>
      <c r="I39" s="13" t="s">
        <v>100</v>
      </c>
      <c r="J39" s="12"/>
      <c r="K39" s="12" t="s">
        <v>366</v>
      </c>
      <c r="L39" s="12" t="s">
        <v>367</v>
      </c>
      <c r="M39" s="12" t="s">
        <v>164</v>
      </c>
      <c r="N39" s="12" t="s">
        <v>368</v>
      </c>
      <c r="O39" s="14" t="s">
        <v>106</v>
      </c>
      <c r="P39" s="12"/>
      <c r="Q39" s="12" t="s">
        <v>369</v>
      </c>
      <c r="R39" s="13" t="s">
        <v>168</v>
      </c>
      <c r="S39" s="12" t="s">
        <v>370</v>
      </c>
      <c r="T39" s="15" t="s">
        <v>170</v>
      </c>
    </row>
    <row r="40" customFormat="false" ht="23.85" hidden="false" customHeight="false" outlineLevel="0" collapsed="false">
      <c r="A40" s="12" t="s">
        <v>344</v>
      </c>
      <c r="B40" s="12" t="s">
        <v>371</v>
      </c>
      <c r="C40" s="13" t="s">
        <v>95</v>
      </c>
      <c r="D40" s="12"/>
      <c r="E40" s="12" t="s">
        <v>365</v>
      </c>
      <c r="F40" s="13" t="s">
        <v>83</v>
      </c>
      <c r="G40" s="13"/>
      <c r="H40" s="13" t="s">
        <v>100</v>
      </c>
      <c r="I40" s="13" t="s">
        <v>98</v>
      </c>
      <c r="J40" s="12"/>
      <c r="K40" s="12"/>
      <c r="L40" s="12" t="s">
        <v>372</v>
      </c>
      <c r="M40" s="12" t="s">
        <v>189</v>
      </c>
      <c r="N40" s="12" t="s">
        <v>130</v>
      </c>
      <c r="O40" s="14" t="s">
        <v>106</v>
      </c>
      <c r="P40" s="12"/>
      <c r="Q40" s="12" t="s">
        <v>373</v>
      </c>
      <c r="R40" s="13" t="s">
        <v>168</v>
      </c>
      <c r="S40" s="12" t="s">
        <v>374</v>
      </c>
      <c r="T40" s="15" t="s">
        <v>170</v>
      </c>
    </row>
    <row r="41" customFormat="false" ht="23.85" hidden="false" customHeight="false" outlineLevel="0" collapsed="false">
      <c r="A41" s="12" t="s">
        <v>344</v>
      </c>
      <c r="B41" s="12" t="s">
        <v>375</v>
      </c>
      <c r="C41" s="13" t="s">
        <v>303</v>
      </c>
      <c r="D41" s="12"/>
      <c r="E41" s="12" t="s">
        <v>376</v>
      </c>
      <c r="F41" s="13" t="s">
        <v>81</v>
      </c>
      <c r="G41" s="13" t="s">
        <v>98</v>
      </c>
      <c r="H41" s="13"/>
      <c r="I41" s="13"/>
      <c r="J41" s="12" t="s">
        <v>377</v>
      </c>
      <c r="K41" s="12"/>
      <c r="L41" s="12"/>
      <c r="M41" s="12" t="s">
        <v>189</v>
      </c>
      <c r="N41" s="12" t="s">
        <v>265</v>
      </c>
      <c r="O41" s="14" t="s">
        <v>106</v>
      </c>
      <c r="P41" s="12"/>
      <c r="Q41" s="12" t="s">
        <v>378</v>
      </c>
      <c r="R41" s="13" t="s">
        <v>260</v>
      </c>
      <c r="S41" s="12" t="s">
        <v>290</v>
      </c>
      <c r="T41" s="15" t="s">
        <v>170</v>
      </c>
    </row>
    <row r="42" customFormat="false" ht="23.85" hidden="false" customHeight="false" outlineLevel="0" collapsed="false">
      <c r="A42" s="12" t="s">
        <v>344</v>
      </c>
      <c r="B42" s="12" t="s">
        <v>379</v>
      </c>
      <c r="C42" s="13" t="s">
        <v>303</v>
      </c>
      <c r="D42" s="12"/>
      <c r="E42" s="12" t="s">
        <v>380</v>
      </c>
      <c r="F42" s="13" t="s">
        <v>83</v>
      </c>
      <c r="G42" s="13"/>
      <c r="H42" s="13" t="s">
        <v>99</v>
      </c>
      <c r="I42" s="13" t="s">
        <v>98</v>
      </c>
      <c r="J42" s="12"/>
      <c r="K42" s="12" t="s">
        <v>381</v>
      </c>
      <c r="L42" s="12"/>
      <c r="M42" s="12" t="s">
        <v>189</v>
      </c>
      <c r="N42" s="12" t="s">
        <v>265</v>
      </c>
      <c r="O42" s="14" t="s">
        <v>106</v>
      </c>
      <c r="P42" s="12"/>
      <c r="Q42" s="12" t="s">
        <v>382</v>
      </c>
      <c r="R42" s="13" t="s">
        <v>260</v>
      </c>
      <c r="S42" s="12" t="s">
        <v>290</v>
      </c>
      <c r="T42" s="15" t="s">
        <v>170</v>
      </c>
    </row>
    <row r="43" customFormat="false" ht="23.85" hidden="false" customHeight="false" outlineLevel="0" collapsed="false">
      <c r="A43" s="12" t="s">
        <v>344</v>
      </c>
      <c r="B43" s="12" t="s">
        <v>383</v>
      </c>
      <c r="C43" s="13" t="s">
        <v>95</v>
      </c>
      <c r="D43" s="12" t="s">
        <v>384</v>
      </c>
      <c r="E43" s="12" t="s">
        <v>365</v>
      </c>
      <c r="F43" s="13" t="s">
        <v>81</v>
      </c>
      <c r="G43" s="13" t="s">
        <v>98</v>
      </c>
      <c r="H43" s="13"/>
      <c r="I43" s="13"/>
      <c r="J43" s="12" t="s">
        <v>385</v>
      </c>
      <c r="K43" s="12"/>
      <c r="L43" s="12"/>
      <c r="M43" s="12" t="s">
        <v>189</v>
      </c>
      <c r="N43" s="12" t="s">
        <v>265</v>
      </c>
      <c r="O43" s="14" t="s">
        <v>106</v>
      </c>
      <c r="P43" s="12"/>
      <c r="Q43" s="12" t="s">
        <v>386</v>
      </c>
      <c r="R43" s="13" t="s">
        <v>109</v>
      </c>
      <c r="S43" s="12" t="s">
        <v>387</v>
      </c>
      <c r="T43" s="15" t="s">
        <v>170</v>
      </c>
    </row>
    <row r="44" customFormat="false" ht="23.85" hidden="false" customHeight="false" outlineLevel="0" collapsed="false">
      <c r="A44" s="12" t="s">
        <v>344</v>
      </c>
      <c r="B44" s="12" t="s">
        <v>388</v>
      </c>
      <c r="C44" s="13" t="s">
        <v>95</v>
      </c>
      <c r="D44" s="12"/>
      <c r="E44" s="12" t="s">
        <v>389</v>
      </c>
      <c r="F44" s="13" t="s">
        <v>81</v>
      </c>
      <c r="G44" s="13" t="s">
        <v>98</v>
      </c>
      <c r="H44" s="13"/>
      <c r="I44" s="13"/>
      <c r="J44" s="12" t="s">
        <v>390</v>
      </c>
      <c r="K44" s="12"/>
      <c r="L44" s="12"/>
      <c r="M44" s="12" t="s">
        <v>164</v>
      </c>
      <c r="N44" s="12" t="s">
        <v>368</v>
      </c>
      <c r="O44" s="14" t="s">
        <v>106</v>
      </c>
      <c r="P44" s="12"/>
      <c r="Q44" s="12" t="s">
        <v>391</v>
      </c>
      <c r="R44" s="13" t="s">
        <v>260</v>
      </c>
      <c r="S44" s="12" t="s">
        <v>330</v>
      </c>
      <c r="T44" s="12" t="s">
        <v>331</v>
      </c>
    </row>
    <row r="45" customFormat="false" ht="23.85" hidden="false" customHeight="false" outlineLevel="0" collapsed="false">
      <c r="A45" s="12" t="s">
        <v>344</v>
      </c>
      <c r="B45" s="12" t="s">
        <v>392</v>
      </c>
      <c r="C45" s="13" t="s">
        <v>95</v>
      </c>
      <c r="D45" s="12"/>
      <c r="E45" s="12" t="s">
        <v>393</v>
      </c>
      <c r="F45" s="13" t="s">
        <v>81</v>
      </c>
      <c r="G45" s="13" t="s">
        <v>98</v>
      </c>
      <c r="H45" s="13"/>
      <c r="I45" s="13"/>
      <c r="J45" s="12" t="s">
        <v>394</v>
      </c>
      <c r="K45" s="12"/>
      <c r="L45" s="12"/>
      <c r="M45" s="12" t="s">
        <v>164</v>
      </c>
      <c r="N45" s="12" t="s">
        <v>368</v>
      </c>
      <c r="O45" s="14" t="s">
        <v>106</v>
      </c>
      <c r="P45" s="12"/>
      <c r="Q45" s="12" t="s">
        <v>395</v>
      </c>
      <c r="R45" s="13" t="s">
        <v>260</v>
      </c>
      <c r="S45" s="12" t="s">
        <v>330</v>
      </c>
      <c r="T45" s="12" t="s">
        <v>331</v>
      </c>
    </row>
    <row r="46" customFormat="false" ht="15" hidden="false" customHeight="false" outlineLevel="0" collapsed="false">
      <c r="A46" s="12" t="s">
        <v>344</v>
      </c>
      <c r="B46" s="12" t="s">
        <v>396</v>
      </c>
      <c r="C46" s="13" t="s">
        <v>95</v>
      </c>
      <c r="D46" s="12"/>
      <c r="E46" s="12" t="s">
        <v>397</v>
      </c>
      <c r="F46" s="13" t="s">
        <v>81</v>
      </c>
      <c r="G46" s="13" t="s">
        <v>98</v>
      </c>
      <c r="H46" s="13"/>
      <c r="I46" s="13"/>
      <c r="J46" s="12" t="s">
        <v>398</v>
      </c>
      <c r="K46" s="12"/>
      <c r="L46" s="12"/>
      <c r="M46" s="12" t="s">
        <v>164</v>
      </c>
      <c r="N46" s="12" t="s">
        <v>368</v>
      </c>
      <c r="O46" s="14" t="s">
        <v>106</v>
      </c>
      <c r="P46" s="12"/>
      <c r="Q46" s="12" t="s">
        <v>399</v>
      </c>
      <c r="R46" s="13" t="s">
        <v>168</v>
      </c>
      <c r="S46" s="12" t="s">
        <v>387</v>
      </c>
      <c r="T46" s="15" t="s">
        <v>170</v>
      </c>
    </row>
    <row r="47" customFormat="false" ht="15" hidden="false" customHeight="false" outlineLevel="0" collapsed="false">
      <c r="A47" s="12" t="s">
        <v>344</v>
      </c>
      <c r="B47" s="12" t="s">
        <v>400</v>
      </c>
      <c r="C47" s="13" t="s">
        <v>95</v>
      </c>
      <c r="D47" s="12"/>
      <c r="E47" s="12" t="s">
        <v>401</v>
      </c>
      <c r="F47" s="13" t="s">
        <v>82</v>
      </c>
      <c r="G47" s="13"/>
      <c r="H47" s="13" t="s">
        <v>98</v>
      </c>
      <c r="I47" s="13"/>
      <c r="J47" s="12"/>
      <c r="K47" s="12" t="s">
        <v>402</v>
      </c>
      <c r="L47" s="12"/>
      <c r="M47" s="12" t="s">
        <v>164</v>
      </c>
      <c r="N47" s="12" t="s">
        <v>368</v>
      </c>
      <c r="O47" s="14" t="s">
        <v>106</v>
      </c>
      <c r="P47" s="12"/>
      <c r="Q47" s="12" t="s">
        <v>403</v>
      </c>
      <c r="R47" s="13" t="s">
        <v>168</v>
      </c>
      <c r="S47" s="12" t="s">
        <v>404</v>
      </c>
      <c r="T47" s="15" t="s">
        <v>170</v>
      </c>
    </row>
    <row r="48" customFormat="false" ht="23.85" hidden="false" customHeight="false" outlineLevel="0" collapsed="false">
      <c r="A48" s="12" t="s">
        <v>344</v>
      </c>
      <c r="B48" s="12" t="s">
        <v>405</v>
      </c>
      <c r="C48" s="13" t="s">
        <v>95</v>
      </c>
      <c r="D48" s="12"/>
      <c r="E48" s="12" t="s">
        <v>406</v>
      </c>
      <c r="F48" s="13" t="s">
        <v>82</v>
      </c>
      <c r="G48" s="13"/>
      <c r="H48" s="13" t="s">
        <v>98</v>
      </c>
      <c r="I48" s="13"/>
      <c r="J48" s="12"/>
      <c r="K48" s="12" t="s">
        <v>229</v>
      </c>
      <c r="L48" s="12"/>
      <c r="M48" s="12" t="s">
        <v>164</v>
      </c>
      <c r="N48" s="12" t="s">
        <v>368</v>
      </c>
      <c r="O48" s="14" t="s">
        <v>106</v>
      </c>
      <c r="P48" s="12"/>
      <c r="Q48" s="12" t="s">
        <v>407</v>
      </c>
      <c r="R48" s="13" t="s">
        <v>168</v>
      </c>
      <c r="S48" s="12" t="s">
        <v>408</v>
      </c>
      <c r="T48" s="15" t="s">
        <v>409</v>
      </c>
    </row>
    <row r="49" customFormat="false" ht="23.85" hidden="false" customHeight="false" outlineLevel="0" collapsed="false">
      <c r="A49" s="12" t="s">
        <v>344</v>
      </c>
      <c r="B49" s="12" t="s">
        <v>410</v>
      </c>
      <c r="C49" s="13" t="s">
        <v>95</v>
      </c>
      <c r="D49" s="12"/>
      <c r="E49" s="12" t="s">
        <v>401</v>
      </c>
      <c r="F49" s="13" t="s">
        <v>83</v>
      </c>
      <c r="G49" s="13"/>
      <c r="H49" s="13"/>
      <c r="I49" s="13" t="s">
        <v>98</v>
      </c>
      <c r="J49" s="12"/>
      <c r="K49" s="12"/>
      <c r="L49" s="12" t="s">
        <v>411</v>
      </c>
      <c r="M49" s="12" t="s">
        <v>164</v>
      </c>
      <c r="N49" s="12" t="s">
        <v>368</v>
      </c>
      <c r="O49" s="14" t="s">
        <v>106</v>
      </c>
      <c r="P49" s="12"/>
      <c r="Q49" s="12" t="s">
        <v>412</v>
      </c>
      <c r="R49" s="13" t="s">
        <v>168</v>
      </c>
      <c r="S49" s="12" t="s">
        <v>387</v>
      </c>
      <c r="T49" s="15" t="s">
        <v>170</v>
      </c>
    </row>
    <row r="50" customFormat="false" ht="15" hidden="false" customHeight="false" outlineLevel="0" collapsed="false">
      <c r="A50" s="12" t="s">
        <v>344</v>
      </c>
      <c r="B50" s="12" t="s">
        <v>413</v>
      </c>
      <c r="C50" s="13" t="s">
        <v>95</v>
      </c>
      <c r="D50" s="12"/>
      <c r="E50" s="12" t="s">
        <v>414</v>
      </c>
      <c r="F50" s="13" t="s">
        <v>83</v>
      </c>
      <c r="G50" s="13"/>
      <c r="H50" s="13"/>
      <c r="I50" s="13" t="s">
        <v>98</v>
      </c>
      <c r="J50" s="12"/>
      <c r="K50" s="12"/>
      <c r="L50" s="12" t="s">
        <v>415</v>
      </c>
      <c r="M50" s="12" t="s">
        <v>164</v>
      </c>
      <c r="N50" s="12" t="s">
        <v>368</v>
      </c>
      <c r="O50" s="14" t="s">
        <v>106</v>
      </c>
      <c r="P50" s="12"/>
      <c r="Q50" s="12" t="s">
        <v>412</v>
      </c>
      <c r="R50" s="13" t="s">
        <v>168</v>
      </c>
      <c r="S50" s="12" t="s">
        <v>387</v>
      </c>
      <c r="T50" s="15" t="s">
        <v>170</v>
      </c>
    </row>
    <row r="51" customFormat="false" ht="23.85" hidden="false" customHeight="false" outlineLevel="0" collapsed="false">
      <c r="A51" s="12" t="s">
        <v>344</v>
      </c>
      <c r="B51" s="12" t="s">
        <v>416</v>
      </c>
      <c r="C51" s="13" t="s">
        <v>95</v>
      </c>
      <c r="D51" s="12"/>
      <c r="E51" s="12" t="s">
        <v>401</v>
      </c>
      <c r="F51" s="13" t="s">
        <v>327</v>
      </c>
      <c r="G51" s="13"/>
      <c r="H51" s="13" t="s">
        <v>99</v>
      </c>
      <c r="I51" s="13"/>
      <c r="J51" s="12"/>
      <c r="K51" s="12" t="s">
        <v>417</v>
      </c>
      <c r="L51" s="12"/>
      <c r="M51" s="12" t="s">
        <v>164</v>
      </c>
      <c r="N51" s="12" t="s">
        <v>265</v>
      </c>
      <c r="O51" s="14" t="s">
        <v>106</v>
      </c>
      <c r="P51" s="12"/>
      <c r="Q51" s="12" t="s">
        <v>418</v>
      </c>
      <c r="R51" s="13" t="s">
        <v>260</v>
      </c>
      <c r="S51" s="12" t="s">
        <v>330</v>
      </c>
      <c r="T51" s="12" t="s">
        <v>331</v>
      </c>
    </row>
    <row r="52" customFormat="false" ht="23.85" hidden="false" customHeight="false" outlineLevel="0" collapsed="false">
      <c r="A52" s="12" t="s">
        <v>344</v>
      </c>
      <c r="B52" s="12" t="s">
        <v>419</v>
      </c>
      <c r="C52" s="13" t="s">
        <v>95</v>
      </c>
      <c r="D52" s="12"/>
      <c r="E52" s="12" t="s">
        <v>401</v>
      </c>
      <c r="F52" s="13" t="s">
        <v>327</v>
      </c>
      <c r="G52" s="13" t="s">
        <v>99</v>
      </c>
      <c r="H52" s="13"/>
      <c r="I52" s="13"/>
      <c r="J52" s="12" t="s">
        <v>417</v>
      </c>
      <c r="K52" s="12"/>
      <c r="L52" s="12"/>
      <c r="M52" s="12" t="s">
        <v>164</v>
      </c>
      <c r="N52" s="12" t="s">
        <v>368</v>
      </c>
      <c r="O52" s="14" t="s">
        <v>106</v>
      </c>
      <c r="P52" s="12"/>
      <c r="Q52" s="12" t="s">
        <v>420</v>
      </c>
      <c r="R52" s="13" t="s">
        <v>260</v>
      </c>
      <c r="S52" s="12" t="s">
        <v>330</v>
      </c>
      <c r="T52" s="12" t="s">
        <v>331</v>
      </c>
    </row>
    <row r="53" customFormat="false" ht="23.85" hidden="false" customHeight="false" outlineLevel="0" collapsed="false">
      <c r="A53" s="12" t="s">
        <v>344</v>
      </c>
      <c r="B53" s="12" t="s">
        <v>421</v>
      </c>
      <c r="C53" s="13" t="s">
        <v>95</v>
      </c>
      <c r="D53" s="12"/>
      <c r="E53" s="12" t="s">
        <v>422</v>
      </c>
      <c r="F53" s="13" t="s">
        <v>327</v>
      </c>
      <c r="G53" s="13"/>
      <c r="H53" s="13"/>
      <c r="I53" s="13" t="s">
        <v>99</v>
      </c>
      <c r="J53" s="12"/>
      <c r="K53" s="12"/>
      <c r="L53" s="12" t="s">
        <v>417</v>
      </c>
      <c r="M53" s="12" t="s">
        <v>244</v>
      </c>
      <c r="N53" s="12" t="s">
        <v>244</v>
      </c>
      <c r="O53" s="13" t="s">
        <v>244</v>
      </c>
      <c r="P53" s="12"/>
      <c r="Q53" s="12" t="s">
        <v>423</v>
      </c>
      <c r="R53" s="13" t="s">
        <v>260</v>
      </c>
      <c r="S53" s="12" t="s">
        <v>330</v>
      </c>
      <c r="T53" s="12" t="s">
        <v>331</v>
      </c>
    </row>
    <row r="54" customFormat="false" ht="23.85" hidden="false" customHeight="false" outlineLevel="0" collapsed="false">
      <c r="A54" s="12" t="s">
        <v>344</v>
      </c>
      <c r="B54" s="12" t="s">
        <v>424</v>
      </c>
      <c r="C54" s="13" t="s">
        <v>303</v>
      </c>
      <c r="D54" s="12"/>
      <c r="E54" s="12" t="s">
        <v>425</v>
      </c>
      <c r="F54" s="13" t="s">
        <v>81</v>
      </c>
      <c r="G54" s="13" t="s">
        <v>98</v>
      </c>
      <c r="H54" s="13"/>
      <c r="I54" s="13"/>
      <c r="J54" s="12" t="s">
        <v>426</v>
      </c>
      <c r="K54" s="12"/>
      <c r="L54" s="12"/>
      <c r="M54" s="12" t="s">
        <v>427</v>
      </c>
      <c r="N54" s="12" t="s">
        <v>428</v>
      </c>
      <c r="O54" s="14" t="s">
        <v>106</v>
      </c>
      <c r="P54" s="12"/>
      <c r="Q54" s="12" t="s">
        <v>429</v>
      </c>
      <c r="R54" s="13" t="s">
        <v>168</v>
      </c>
      <c r="S54" s="12" t="s">
        <v>430</v>
      </c>
      <c r="T54" s="15" t="s">
        <v>170</v>
      </c>
    </row>
    <row r="55" customFormat="false" ht="15" hidden="false" customHeight="false" outlineLevel="0" collapsed="false">
      <c r="A55" s="12" t="s">
        <v>344</v>
      </c>
      <c r="B55" s="12" t="s">
        <v>431</v>
      </c>
      <c r="C55" s="13" t="s">
        <v>303</v>
      </c>
      <c r="D55" s="12" t="s">
        <v>357</v>
      </c>
      <c r="E55" s="12" t="s">
        <v>406</v>
      </c>
      <c r="F55" s="13" t="s">
        <v>81</v>
      </c>
      <c r="G55" s="13" t="s">
        <v>98</v>
      </c>
      <c r="H55" s="13"/>
      <c r="I55" s="13"/>
      <c r="J55" s="12" t="s">
        <v>367</v>
      </c>
      <c r="K55" s="12"/>
      <c r="L55" s="12"/>
      <c r="M55" s="12" t="s">
        <v>189</v>
      </c>
      <c r="N55" s="12" t="s">
        <v>265</v>
      </c>
      <c r="O55" s="14" t="s">
        <v>106</v>
      </c>
      <c r="P55" s="12"/>
      <c r="Q55" s="12" t="s">
        <v>432</v>
      </c>
      <c r="R55" s="13" t="s">
        <v>168</v>
      </c>
      <c r="S55" s="12" t="s">
        <v>433</v>
      </c>
      <c r="T55" s="15" t="s">
        <v>170</v>
      </c>
    </row>
    <row r="56" customFormat="false" ht="15" hidden="false" customHeight="false" outlineLevel="0" collapsed="false">
      <c r="A56" s="12" t="s">
        <v>344</v>
      </c>
      <c r="B56" s="12" t="s">
        <v>434</v>
      </c>
      <c r="C56" s="13" t="s">
        <v>303</v>
      </c>
      <c r="D56" s="12"/>
      <c r="E56" s="12" t="s">
        <v>397</v>
      </c>
      <c r="F56" s="13" t="s">
        <v>82</v>
      </c>
      <c r="G56" s="13"/>
      <c r="H56" s="13" t="s">
        <v>98</v>
      </c>
      <c r="I56" s="13"/>
      <c r="J56" s="12"/>
      <c r="K56" s="12" t="s">
        <v>435</v>
      </c>
      <c r="L56" s="12"/>
      <c r="M56" s="12" t="s">
        <v>164</v>
      </c>
      <c r="N56" s="12" t="s">
        <v>368</v>
      </c>
      <c r="O56" s="14" t="s">
        <v>106</v>
      </c>
      <c r="P56" s="12"/>
      <c r="Q56" s="12" t="s">
        <v>436</v>
      </c>
      <c r="R56" s="13" t="s">
        <v>168</v>
      </c>
      <c r="S56" s="12" t="s">
        <v>370</v>
      </c>
      <c r="T56" s="15" t="s">
        <v>170</v>
      </c>
    </row>
    <row r="57" customFormat="false" ht="23.85" hidden="false" customHeight="false" outlineLevel="0" collapsed="false">
      <c r="A57" s="12" t="s">
        <v>344</v>
      </c>
      <c r="B57" s="12" t="s">
        <v>437</v>
      </c>
      <c r="C57" s="13" t="s">
        <v>303</v>
      </c>
      <c r="D57" s="12"/>
      <c r="E57" s="12" t="s">
        <v>438</v>
      </c>
      <c r="F57" s="13" t="s">
        <v>82</v>
      </c>
      <c r="G57" s="13"/>
      <c r="H57" s="13" t="s">
        <v>98</v>
      </c>
      <c r="I57" s="13"/>
      <c r="J57" s="12"/>
      <c r="K57" s="12" t="s">
        <v>439</v>
      </c>
      <c r="L57" s="12"/>
      <c r="M57" s="12" t="s">
        <v>189</v>
      </c>
      <c r="N57" s="12" t="s">
        <v>130</v>
      </c>
      <c r="O57" s="14" t="s">
        <v>106</v>
      </c>
      <c r="P57" s="12"/>
      <c r="Q57" s="12" t="s">
        <v>440</v>
      </c>
      <c r="R57" s="13" t="s">
        <v>168</v>
      </c>
      <c r="S57" s="12" t="s">
        <v>370</v>
      </c>
      <c r="T57" s="15" t="s">
        <v>170</v>
      </c>
    </row>
    <row r="58" customFormat="false" ht="15" hidden="false" customHeight="false" outlineLevel="0" collapsed="false">
      <c r="A58" s="12" t="s">
        <v>344</v>
      </c>
      <c r="B58" s="12" t="s">
        <v>441</v>
      </c>
      <c r="C58" s="13" t="s">
        <v>303</v>
      </c>
      <c r="D58" s="12"/>
      <c r="E58" s="12" t="s">
        <v>406</v>
      </c>
      <c r="F58" s="13" t="s">
        <v>327</v>
      </c>
      <c r="G58" s="13" t="s">
        <v>99</v>
      </c>
      <c r="H58" s="13"/>
      <c r="I58" s="13" t="s">
        <v>99</v>
      </c>
      <c r="J58" s="12" t="s">
        <v>442</v>
      </c>
      <c r="K58" s="12"/>
      <c r="L58" s="12"/>
      <c r="M58" s="12" t="s">
        <v>189</v>
      </c>
      <c r="N58" s="12" t="s">
        <v>130</v>
      </c>
      <c r="O58" s="14" t="s">
        <v>106</v>
      </c>
      <c r="P58" s="12"/>
      <c r="Q58" s="12" t="s">
        <v>443</v>
      </c>
      <c r="R58" s="13" t="s">
        <v>260</v>
      </c>
      <c r="S58" s="12" t="s">
        <v>433</v>
      </c>
      <c r="T58" s="15" t="s">
        <v>170</v>
      </c>
    </row>
    <row r="59" customFormat="false" ht="15" hidden="false" customHeight="false" outlineLevel="0" collapsed="false">
      <c r="A59" s="12" t="s">
        <v>344</v>
      </c>
      <c r="B59" s="12" t="s">
        <v>444</v>
      </c>
      <c r="C59" s="13" t="s">
        <v>303</v>
      </c>
      <c r="D59" s="12" t="s">
        <v>357</v>
      </c>
      <c r="E59" s="12" t="s">
        <v>406</v>
      </c>
      <c r="F59" s="13" t="s">
        <v>83</v>
      </c>
      <c r="G59" s="13"/>
      <c r="H59" s="13"/>
      <c r="I59" s="13" t="s">
        <v>98</v>
      </c>
      <c r="J59" s="12"/>
      <c r="K59" s="12"/>
      <c r="L59" s="12" t="s">
        <v>445</v>
      </c>
      <c r="M59" s="12" t="s">
        <v>164</v>
      </c>
      <c r="N59" s="12" t="s">
        <v>368</v>
      </c>
      <c r="O59" s="14" t="s">
        <v>106</v>
      </c>
      <c r="P59" s="12"/>
      <c r="Q59" s="12" t="s">
        <v>446</v>
      </c>
      <c r="R59" s="13" t="s">
        <v>168</v>
      </c>
      <c r="S59" s="12" t="s">
        <v>433</v>
      </c>
      <c r="T59" s="15" t="s">
        <v>170</v>
      </c>
    </row>
    <row r="60" customFormat="false" ht="23.85" hidden="false" customHeight="false" outlineLevel="0" collapsed="false">
      <c r="A60" s="12" t="s">
        <v>344</v>
      </c>
      <c r="B60" s="12" t="s">
        <v>447</v>
      </c>
      <c r="C60" s="13" t="s">
        <v>303</v>
      </c>
      <c r="D60" s="12"/>
      <c r="E60" s="12" t="s">
        <v>448</v>
      </c>
      <c r="F60" s="13" t="s">
        <v>83</v>
      </c>
      <c r="G60" s="13"/>
      <c r="H60" s="13"/>
      <c r="I60" s="13" t="s">
        <v>98</v>
      </c>
      <c r="J60" s="12"/>
      <c r="K60" s="12"/>
      <c r="L60" s="12"/>
      <c r="M60" s="12" t="s">
        <v>164</v>
      </c>
      <c r="N60" s="12" t="s">
        <v>368</v>
      </c>
      <c r="O60" s="14" t="s">
        <v>106</v>
      </c>
      <c r="P60" s="12"/>
      <c r="Q60" s="12" t="s">
        <v>449</v>
      </c>
      <c r="R60" s="13" t="s">
        <v>260</v>
      </c>
      <c r="S60" s="12" t="s">
        <v>450</v>
      </c>
      <c r="T60" s="15" t="s">
        <v>451</v>
      </c>
    </row>
    <row r="61" customFormat="false" ht="15" hidden="false" customHeight="false" outlineLevel="0" collapsed="false">
      <c r="A61" s="12" t="s">
        <v>344</v>
      </c>
      <c r="B61" s="12" t="s">
        <v>452</v>
      </c>
      <c r="C61" s="13" t="s">
        <v>303</v>
      </c>
      <c r="D61" s="12"/>
      <c r="E61" s="12" t="s">
        <v>406</v>
      </c>
      <c r="F61" s="13" t="s">
        <v>81</v>
      </c>
      <c r="G61" s="13" t="s">
        <v>98</v>
      </c>
      <c r="H61" s="13"/>
      <c r="I61" s="13"/>
      <c r="J61" s="12" t="s">
        <v>426</v>
      </c>
      <c r="K61" s="12"/>
      <c r="L61" s="12"/>
      <c r="M61" s="12" t="s">
        <v>164</v>
      </c>
      <c r="N61" s="12" t="s">
        <v>368</v>
      </c>
      <c r="O61" s="14" t="s">
        <v>106</v>
      </c>
      <c r="P61" s="12"/>
      <c r="Q61" s="12" t="s">
        <v>429</v>
      </c>
      <c r="R61" s="13" t="s">
        <v>260</v>
      </c>
      <c r="S61" s="12" t="s">
        <v>290</v>
      </c>
      <c r="T61" s="15" t="s">
        <v>170</v>
      </c>
    </row>
    <row r="62" customFormat="false" ht="23.85" hidden="false" customHeight="false" outlineLevel="0" collapsed="false">
      <c r="A62" s="12" t="s">
        <v>344</v>
      </c>
      <c r="B62" s="12" t="s">
        <v>453</v>
      </c>
      <c r="C62" s="13" t="s">
        <v>303</v>
      </c>
      <c r="D62" s="12" t="s">
        <v>454</v>
      </c>
      <c r="E62" s="12" t="s">
        <v>455</v>
      </c>
      <c r="F62" s="13" t="s">
        <v>81</v>
      </c>
      <c r="G62" s="13" t="s">
        <v>98</v>
      </c>
      <c r="H62" s="13"/>
      <c r="I62" s="13"/>
      <c r="J62" s="12" t="s">
        <v>456</v>
      </c>
      <c r="K62" s="12"/>
      <c r="L62" s="12"/>
      <c r="M62" s="12" t="s">
        <v>457</v>
      </c>
      <c r="N62" s="12" t="s">
        <v>458</v>
      </c>
      <c r="O62" s="14" t="s">
        <v>106</v>
      </c>
      <c r="P62" s="12"/>
      <c r="Q62" s="12" t="s">
        <v>459</v>
      </c>
      <c r="R62" s="13" t="s">
        <v>260</v>
      </c>
      <c r="S62" s="12" t="s">
        <v>290</v>
      </c>
      <c r="T62" s="15" t="s">
        <v>170</v>
      </c>
    </row>
    <row r="63" customFormat="false" ht="15" hidden="false" customHeight="false" outlineLevel="0" collapsed="false">
      <c r="A63" s="12" t="s">
        <v>344</v>
      </c>
      <c r="B63" s="12" t="s">
        <v>460</v>
      </c>
      <c r="C63" s="13" t="s">
        <v>303</v>
      </c>
      <c r="D63" s="12"/>
      <c r="E63" s="12" t="s">
        <v>406</v>
      </c>
      <c r="F63" s="13" t="s">
        <v>81</v>
      </c>
      <c r="G63" s="13" t="s">
        <v>98</v>
      </c>
      <c r="H63" s="13"/>
      <c r="I63" s="13"/>
      <c r="J63" s="12" t="s">
        <v>461</v>
      </c>
      <c r="K63" s="12"/>
      <c r="L63" s="12"/>
      <c r="M63" s="12" t="s">
        <v>164</v>
      </c>
      <c r="N63" s="12" t="s">
        <v>368</v>
      </c>
      <c r="O63" s="14" t="s">
        <v>106</v>
      </c>
      <c r="P63" s="12"/>
      <c r="Q63" s="12" t="s">
        <v>462</v>
      </c>
      <c r="R63" s="13" t="s">
        <v>260</v>
      </c>
      <c r="S63" s="12" t="s">
        <v>290</v>
      </c>
      <c r="T63" s="15" t="s">
        <v>170</v>
      </c>
    </row>
    <row r="64" customFormat="false" ht="26.85" hidden="false" customHeight="false" outlineLevel="0" collapsed="false">
      <c r="A64" s="11" t="s">
        <v>463</v>
      </c>
      <c r="B64" s="11"/>
      <c r="C64" s="11"/>
      <c r="D64" s="11"/>
      <c r="E64" s="11"/>
      <c r="F64" s="11"/>
      <c r="G64" s="11"/>
      <c r="H64" s="11"/>
      <c r="I64" s="11"/>
      <c r="J64" s="11"/>
      <c r="K64" s="11"/>
      <c r="L64" s="11"/>
      <c r="M64" s="11"/>
      <c r="N64" s="11"/>
      <c r="O64" s="11"/>
      <c r="P64" s="11"/>
      <c r="Q64" s="11"/>
      <c r="R64" s="11"/>
      <c r="S64" s="11"/>
      <c r="T64" s="11"/>
    </row>
    <row r="65" customFormat="false" ht="46.25" hidden="false" customHeight="false" outlineLevel="0" collapsed="false">
      <c r="A65" s="12" t="s">
        <v>463</v>
      </c>
      <c r="B65" s="12" t="s">
        <v>464</v>
      </c>
      <c r="C65" s="13" t="s">
        <v>95</v>
      </c>
      <c r="D65" s="12"/>
      <c r="E65" s="12" t="s">
        <v>465</v>
      </c>
      <c r="F65" s="13" t="s">
        <v>83</v>
      </c>
      <c r="G65" s="13" t="s">
        <v>99</v>
      </c>
      <c r="H65" s="13" t="s">
        <v>100</v>
      </c>
      <c r="I65" s="13" t="s">
        <v>98</v>
      </c>
      <c r="J65" s="12" t="s">
        <v>466</v>
      </c>
      <c r="K65" s="12" t="s">
        <v>467</v>
      </c>
      <c r="L65" s="12" t="s">
        <v>468</v>
      </c>
      <c r="M65" s="12" t="s">
        <v>469</v>
      </c>
      <c r="N65" s="12" t="s">
        <v>470</v>
      </c>
      <c r="O65" s="14" t="s">
        <v>106</v>
      </c>
      <c r="P65" s="12" t="s">
        <v>471</v>
      </c>
      <c r="Q65" s="12" t="s">
        <v>472</v>
      </c>
      <c r="R65" s="13" t="s">
        <v>109</v>
      </c>
      <c r="S65" s="12" t="s">
        <v>473</v>
      </c>
      <c r="T65" s="15" t="s">
        <v>170</v>
      </c>
    </row>
    <row r="66" customFormat="false" ht="35.05" hidden="false" customHeight="false" outlineLevel="0" collapsed="false">
      <c r="A66" s="12" t="s">
        <v>463</v>
      </c>
      <c r="B66" s="12" t="s">
        <v>474</v>
      </c>
      <c r="C66" s="13" t="s">
        <v>95</v>
      </c>
      <c r="D66" s="12"/>
      <c r="E66" s="12" t="s">
        <v>475</v>
      </c>
      <c r="F66" s="13" t="s">
        <v>81</v>
      </c>
      <c r="G66" s="13" t="s">
        <v>98</v>
      </c>
      <c r="H66" s="13" t="s">
        <v>99</v>
      </c>
      <c r="I66" s="13"/>
      <c r="J66" s="12" t="s">
        <v>476</v>
      </c>
      <c r="K66" s="12" t="s">
        <v>477</v>
      </c>
      <c r="L66" s="12"/>
      <c r="M66" s="12" t="s">
        <v>469</v>
      </c>
      <c r="N66" s="12" t="s">
        <v>458</v>
      </c>
      <c r="O66" s="14" t="s">
        <v>106</v>
      </c>
      <c r="P66" s="12" t="s">
        <v>205</v>
      </c>
      <c r="Q66" s="12" t="s">
        <v>478</v>
      </c>
      <c r="R66" s="13" t="s">
        <v>168</v>
      </c>
      <c r="S66" s="12" t="s">
        <v>479</v>
      </c>
      <c r="T66" s="15" t="s">
        <v>170</v>
      </c>
    </row>
    <row r="67" customFormat="false" ht="35.05" hidden="false" customHeight="false" outlineLevel="0" collapsed="false">
      <c r="A67" s="12" t="s">
        <v>463</v>
      </c>
      <c r="B67" s="12" t="s">
        <v>480</v>
      </c>
      <c r="C67" s="13" t="s">
        <v>95</v>
      </c>
      <c r="D67" s="12"/>
      <c r="E67" s="12" t="s">
        <v>481</v>
      </c>
      <c r="F67" s="13" t="s">
        <v>81</v>
      </c>
      <c r="G67" s="13" t="s">
        <v>98</v>
      </c>
      <c r="H67" s="13" t="s">
        <v>99</v>
      </c>
      <c r="I67" s="13" t="s">
        <v>100</v>
      </c>
      <c r="J67" s="12" t="s">
        <v>482</v>
      </c>
      <c r="K67" s="12" t="s">
        <v>483</v>
      </c>
      <c r="L67" s="12"/>
      <c r="M67" s="12" t="s">
        <v>484</v>
      </c>
      <c r="N67" s="12" t="s">
        <v>485</v>
      </c>
      <c r="O67" s="14" t="s">
        <v>106</v>
      </c>
      <c r="P67" s="12" t="s">
        <v>486</v>
      </c>
      <c r="Q67" s="12" t="s">
        <v>487</v>
      </c>
      <c r="R67" s="13" t="s">
        <v>168</v>
      </c>
      <c r="S67" s="12" t="s">
        <v>387</v>
      </c>
      <c r="T67" s="15" t="s">
        <v>170</v>
      </c>
    </row>
    <row r="68" customFormat="false" ht="23.85" hidden="false" customHeight="false" outlineLevel="0" collapsed="false">
      <c r="A68" s="12" t="s">
        <v>463</v>
      </c>
      <c r="B68" s="12" t="s">
        <v>488</v>
      </c>
      <c r="C68" s="13" t="s">
        <v>95</v>
      </c>
      <c r="D68" s="12"/>
      <c r="E68" s="12" t="s">
        <v>489</v>
      </c>
      <c r="F68" s="13" t="s">
        <v>82</v>
      </c>
      <c r="G68" s="13" t="s">
        <v>100</v>
      </c>
      <c r="H68" s="13" t="s">
        <v>98</v>
      </c>
      <c r="I68" s="13"/>
      <c r="J68" s="12" t="s">
        <v>490</v>
      </c>
      <c r="K68" s="12" t="s">
        <v>491</v>
      </c>
      <c r="L68" s="12"/>
      <c r="M68" s="12" t="s">
        <v>492</v>
      </c>
      <c r="N68" s="12" t="s">
        <v>493</v>
      </c>
      <c r="O68" s="14" t="s">
        <v>106</v>
      </c>
      <c r="P68" s="12" t="s">
        <v>205</v>
      </c>
      <c r="Q68" s="12" t="s">
        <v>494</v>
      </c>
      <c r="R68" s="13" t="s">
        <v>168</v>
      </c>
      <c r="S68" s="12" t="s">
        <v>495</v>
      </c>
      <c r="T68" s="15" t="s">
        <v>170</v>
      </c>
    </row>
    <row r="69" customFormat="false" ht="35.05" hidden="false" customHeight="false" outlineLevel="0" collapsed="false">
      <c r="A69" s="12" t="s">
        <v>463</v>
      </c>
      <c r="B69" s="12" t="s">
        <v>496</v>
      </c>
      <c r="C69" s="13" t="s">
        <v>95</v>
      </c>
      <c r="D69" s="12"/>
      <c r="E69" s="12" t="s">
        <v>497</v>
      </c>
      <c r="F69" s="13" t="s">
        <v>149</v>
      </c>
      <c r="G69" s="13" t="s">
        <v>98</v>
      </c>
      <c r="H69" s="13" t="s">
        <v>98</v>
      </c>
      <c r="I69" s="13" t="s">
        <v>98</v>
      </c>
      <c r="J69" s="12" t="s">
        <v>498</v>
      </c>
      <c r="K69" s="12" t="s">
        <v>328</v>
      </c>
      <c r="L69" s="12" t="s">
        <v>328</v>
      </c>
      <c r="M69" s="12" t="s">
        <v>499</v>
      </c>
      <c r="N69" s="12" t="s">
        <v>500</v>
      </c>
      <c r="O69" s="14" t="s">
        <v>106</v>
      </c>
      <c r="P69" s="12" t="s">
        <v>205</v>
      </c>
      <c r="Q69" s="12" t="s">
        <v>501</v>
      </c>
      <c r="R69" s="13" t="s">
        <v>168</v>
      </c>
      <c r="S69" s="12" t="s">
        <v>387</v>
      </c>
      <c r="T69" s="15" t="s">
        <v>170</v>
      </c>
    </row>
    <row r="70" customFormat="false" ht="23.85" hidden="false" customHeight="false" outlineLevel="0" collapsed="false">
      <c r="A70" s="12" t="s">
        <v>463</v>
      </c>
      <c r="B70" s="12" t="s">
        <v>502</v>
      </c>
      <c r="C70" s="13" t="s">
        <v>95</v>
      </c>
      <c r="D70" s="12"/>
      <c r="E70" s="12" t="s">
        <v>489</v>
      </c>
      <c r="F70" s="13" t="s">
        <v>81</v>
      </c>
      <c r="G70" s="13" t="s">
        <v>98</v>
      </c>
      <c r="H70" s="13"/>
      <c r="I70" s="13" t="s">
        <v>100</v>
      </c>
      <c r="J70" s="12"/>
      <c r="K70" s="12"/>
      <c r="L70" s="12" t="s">
        <v>503</v>
      </c>
      <c r="M70" s="12" t="s">
        <v>492</v>
      </c>
      <c r="N70" s="12" t="s">
        <v>458</v>
      </c>
      <c r="O70" s="14" t="s">
        <v>106</v>
      </c>
      <c r="P70" s="12"/>
      <c r="Q70" s="12" t="s">
        <v>504</v>
      </c>
      <c r="R70" s="13" t="s">
        <v>260</v>
      </c>
      <c r="S70" s="12" t="s">
        <v>330</v>
      </c>
      <c r="T70" s="12" t="s">
        <v>331</v>
      </c>
    </row>
    <row r="71" customFormat="false" ht="26.85" hidden="false" customHeight="false" outlineLevel="0" collapsed="false">
      <c r="A71" s="11" t="s">
        <v>505</v>
      </c>
      <c r="B71" s="11"/>
      <c r="C71" s="11"/>
      <c r="D71" s="11"/>
      <c r="E71" s="11"/>
      <c r="F71" s="11"/>
      <c r="G71" s="11"/>
      <c r="H71" s="11"/>
      <c r="I71" s="11"/>
      <c r="J71" s="11"/>
      <c r="K71" s="11"/>
      <c r="L71" s="11"/>
      <c r="M71" s="11"/>
      <c r="N71" s="11"/>
      <c r="O71" s="11"/>
      <c r="P71" s="11"/>
      <c r="Q71" s="11"/>
      <c r="R71" s="11"/>
      <c r="S71" s="11"/>
      <c r="T71" s="11"/>
    </row>
    <row r="72" customFormat="false" ht="23.85" hidden="false" customHeight="false" outlineLevel="0" collapsed="false">
      <c r="A72" s="12" t="s">
        <v>505</v>
      </c>
      <c r="B72" s="12" t="s">
        <v>506</v>
      </c>
      <c r="C72" s="13" t="s">
        <v>95</v>
      </c>
      <c r="D72" s="12"/>
      <c r="E72" s="12" t="s">
        <v>507</v>
      </c>
      <c r="F72" s="13" t="s">
        <v>81</v>
      </c>
      <c r="G72" s="13" t="s">
        <v>98</v>
      </c>
      <c r="H72" s="13"/>
      <c r="I72" s="13"/>
      <c r="J72" s="12" t="s">
        <v>508</v>
      </c>
      <c r="K72" s="12"/>
      <c r="L72" s="12"/>
      <c r="M72" s="12" t="s">
        <v>509</v>
      </c>
      <c r="N72" s="12" t="s">
        <v>510</v>
      </c>
      <c r="O72" s="14" t="s">
        <v>106</v>
      </c>
      <c r="P72" s="12" t="s">
        <v>511</v>
      </c>
      <c r="Q72" s="12" t="s">
        <v>512</v>
      </c>
      <c r="R72" s="13" t="s">
        <v>109</v>
      </c>
      <c r="S72" s="12" t="s">
        <v>387</v>
      </c>
      <c r="T72" s="15" t="s">
        <v>170</v>
      </c>
    </row>
    <row r="73" customFormat="false" ht="23.85" hidden="false" customHeight="false" outlineLevel="0" collapsed="false">
      <c r="A73" s="12" t="s">
        <v>505</v>
      </c>
      <c r="B73" s="12" t="s">
        <v>513</v>
      </c>
      <c r="C73" s="13" t="s">
        <v>95</v>
      </c>
      <c r="D73" s="12"/>
      <c r="E73" s="12" t="s">
        <v>514</v>
      </c>
      <c r="F73" s="13" t="s">
        <v>82</v>
      </c>
      <c r="G73" s="13"/>
      <c r="H73" s="13" t="s">
        <v>98</v>
      </c>
      <c r="I73" s="13"/>
      <c r="J73" s="12"/>
      <c r="K73" s="12" t="s">
        <v>515</v>
      </c>
      <c r="L73" s="12"/>
      <c r="M73" s="12" t="s">
        <v>516</v>
      </c>
      <c r="N73" s="12" t="s">
        <v>517</v>
      </c>
      <c r="O73" s="14" t="s">
        <v>106</v>
      </c>
      <c r="P73" s="12" t="s">
        <v>205</v>
      </c>
      <c r="Q73" s="12" t="s">
        <v>518</v>
      </c>
      <c r="R73" s="13" t="s">
        <v>168</v>
      </c>
      <c r="S73" s="12" t="s">
        <v>336</v>
      </c>
      <c r="T73" s="12" t="s">
        <v>331</v>
      </c>
    </row>
    <row r="74" customFormat="false" ht="23.85" hidden="false" customHeight="false" outlineLevel="0" collapsed="false">
      <c r="A74" s="12" t="s">
        <v>505</v>
      </c>
      <c r="B74" s="12" t="s">
        <v>519</v>
      </c>
      <c r="C74" s="13" t="s">
        <v>95</v>
      </c>
      <c r="D74" s="12"/>
      <c r="E74" s="12" t="s">
        <v>520</v>
      </c>
      <c r="F74" s="13" t="s">
        <v>83</v>
      </c>
      <c r="G74" s="13"/>
      <c r="H74" s="13"/>
      <c r="I74" s="13" t="s">
        <v>98</v>
      </c>
      <c r="J74" s="12"/>
      <c r="K74" s="12"/>
      <c r="L74" s="12" t="s">
        <v>521</v>
      </c>
      <c r="M74" s="12" t="s">
        <v>522</v>
      </c>
      <c r="N74" s="12" t="s">
        <v>523</v>
      </c>
      <c r="O74" s="14" t="s">
        <v>106</v>
      </c>
      <c r="P74" s="12" t="s">
        <v>511</v>
      </c>
      <c r="Q74" s="12" t="s">
        <v>524</v>
      </c>
      <c r="R74" s="13" t="s">
        <v>168</v>
      </c>
      <c r="S74" s="12" t="s">
        <v>387</v>
      </c>
      <c r="T74" s="15" t="s">
        <v>170</v>
      </c>
    </row>
    <row r="75" customFormat="false" ht="23.85" hidden="false" customHeight="false" outlineLevel="0" collapsed="false">
      <c r="A75" s="12" t="s">
        <v>505</v>
      </c>
      <c r="B75" s="12" t="s">
        <v>525</v>
      </c>
      <c r="C75" s="13" t="s">
        <v>95</v>
      </c>
      <c r="D75" s="12"/>
      <c r="E75" s="12" t="s">
        <v>526</v>
      </c>
      <c r="F75" s="13" t="s">
        <v>327</v>
      </c>
      <c r="G75" s="13"/>
      <c r="H75" s="13" t="s">
        <v>99</v>
      </c>
      <c r="I75" s="13"/>
      <c r="J75" s="12"/>
      <c r="K75" s="12" t="s">
        <v>503</v>
      </c>
      <c r="L75" s="12"/>
      <c r="M75" s="12" t="s">
        <v>527</v>
      </c>
      <c r="N75" s="12" t="s">
        <v>528</v>
      </c>
      <c r="O75" s="14" t="s">
        <v>106</v>
      </c>
      <c r="P75" s="12"/>
      <c r="Q75" s="12" t="s">
        <v>529</v>
      </c>
      <c r="R75" s="13" t="s">
        <v>260</v>
      </c>
      <c r="S75" s="12" t="s">
        <v>330</v>
      </c>
      <c r="T75" s="12" t="s">
        <v>331</v>
      </c>
    </row>
    <row r="76" customFormat="false" ht="23.85" hidden="false" customHeight="false" outlineLevel="0" collapsed="false">
      <c r="A76" s="12" t="s">
        <v>505</v>
      </c>
      <c r="B76" s="12" t="s">
        <v>530</v>
      </c>
      <c r="C76" s="13" t="s">
        <v>303</v>
      </c>
      <c r="D76" s="12"/>
      <c r="E76" s="12" t="s">
        <v>531</v>
      </c>
      <c r="F76" s="13" t="s">
        <v>83</v>
      </c>
      <c r="G76" s="13"/>
      <c r="H76" s="13"/>
      <c r="I76" s="13" t="s">
        <v>98</v>
      </c>
      <c r="J76" s="12"/>
      <c r="K76" s="12"/>
      <c r="L76" s="12" t="s">
        <v>532</v>
      </c>
      <c r="M76" s="12" t="s">
        <v>533</v>
      </c>
      <c r="N76" s="12" t="s">
        <v>528</v>
      </c>
      <c r="O76" s="14" t="s">
        <v>106</v>
      </c>
      <c r="P76" s="12"/>
      <c r="Q76" s="12" t="s">
        <v>534</v>
      </c>
      <c r="R76" s="13" t="s">
        <v>260</v>
      </c>
      <c r="S76" s="12" t="s">
        <v>290</v>
      </c>
      <c r="T76" s="15" t="s">
        <v>170</v>
      </c>
    </row>
    <row r="77" customFormat="false" ht="23.85" hidden="false" customHeight="false" outlineLevel="0" collapsed="false">
      <c r="A77" s="12" t="s">
        <v>505</v>
      </c>
      <c r="B77" s="12" t="s">
        <v>535</v>
      </c>
      <c r="C77" s="13" t="s">
        <v>95</v>
      </c>
      <c r="D77" s="12"/>
      <c r="E77" s="12" t="s">
        <v>536</v>
      </c>
      <c r="F77" s="13" t="s">
        <v>83</v>
      </c>
      <c r="G77" s="13"/>
      <c r="H77" s="13"/>
      <c r="I77" s="13" t="s">
        <v>98</v>
      </c>
      <c r="J77" s="12"/>
      <c r="K77" s="12"/>
      <c r="L77" s="12" t="s">
        <v>537</v>
      </c>
      <c r="M77" s="12" t="s">
        <v>527</v>
      </c>
      <c r="N77" s="12" t="s">
        <v>528</v>
      </c>
      <c r="O77" s="14" t="s">
        <v>106</v>
      </c>
      <c r="P77" s="12"/>
      <c r="Q77" s="12" t="s">
        <v>538</v>
      </c>
      <c r="R77" s="13" t="s">
        <v>168</v>
      </c>
      <c r="S77" s="12" t="s">
        <v>387</v>
      </c>
      <c r="T77" s="15" t="s">
        <v>170</v>
      </c>
    </row>
    <row r="78" customFormat="false" ht="23.85" hidden="false" customHeight="false" outlineLevel="0" collapsed="false">
      <c r="A78" s="12" t="s">
        <v>505</v>
      </c>
      <c r="B78" s="12" t="s">
        <v>539</v>
      </c>
      <c r="C78" s="13" t="s">
        <v>303</v>
      </c>
      <c r="D78" s="12"/>
      <c r="E78" s="12" t="s">
        <v>540</v>
      </c>
      <c r="F78" s="13" t="s">
        <v>83</v>
      </c>
      <c r="G78" s="13"/>
      <c r="H78" s="13"/>
      <c r="I78" s="13" t="s">
        <v>98</v>
      </c>
      <c r="J78" s="12"/>
      <c r="K78" s="12"/>
      <c r="L78" s="12" t="s">
        <v>305</v>
      </c>
      <c r="M78" s="12" t="s">
        <v>527</v>
      </c>
      <c r="N78" s="12" t="s">
        <v>528</v>
      </c>
      <c r="O78" s="14" t="s">
        <v>106</v>
      </c>
      <c r="P78" s="12"/>
      <c r="Q78" s="12" t="s">
        <v>541</v>
      </c>
      <c r="R78" s="13" t="s">
        <v>260</v>
      </c>
      <c r="S78" s="12" t="s">
        <v>290</v>
      </c>
      <c r="T78" s="15" t="s">
        <v>170</v>
      </c>
    </row>
    <row r="79" customFormat="false" ht="23.85" hidden="false" customHeight="false" outlineLevel="0" collapsed="false">
      <c r="A79" s="12" t="s">
        <v>505</v>
      </c>
      <c r="B79" s="12" t="s">
        <v>542</v>
      </c>
      <c r="C79" s="13" t="s">
        <v>303</v>
      </c>
      <c r="D79" s="12"/>
      <c r="E79" s="12" t="s">
        <v>543</v>
      </c>
      <c r="F79" s="13" t="s">
        <v>83</v>
      </c>
      <c r="G79" s="13"/>
      <c r="H79" s="13"/>
      <c r="I79" s="13" t="s">
        <v>98</v>
      </c>
      <c r="J79" s="12"/>
      <c r="K79" s="12"/>
      <c r="L79" s="12" t="s">
        <v>305</v>
      </c>
      <c r="M79" s="12" t="s">
        <v>544</v>
      </c>
      <c r="N79" s="12" t="s">
        <v>545</v>
      </c>
      <c r="O79" s="14" t="s">
        <v>106</v>
      </c>
      <c r="P79" s="12"/>
      <c r="Q79" s="12" t="s">
        <v>546</v>
      </c>
      <c r="R79" s="13" t="s">
        <v>260</v>
      </c>
      <c r="S79" s="12" t="s">
        <v>290</v>
      </c>
      <c r="T79" s="15" t="s">
        <v>170</v>
      </c>
    </row>
    <row r="80" customFormat="false" ht="23.85" hidden="false" customHeight="false" outlineLevel="0" collapsed="false">
      <c r="A80" s="12" t="s">
        <v>505</v>
      </c>
      <c r="B80" s="12" t="s">
        <v>547</v>
      </c>
      <c r="C80" s="13" t="s">
        <v>303</v>
      </c>
      <c r="D80" s="12"/>
      <c r="E80" s="12" t="s">
        <v>548</v>
      </c>
      <c r="F80" s="13" t="s">
        <v>149</v>
      </c>
      <c r="G80" s="13" t="s">
        <v>98</v>
      </c>
      <c r="H80" s="13" t="s">
        <v>98</v>
      </c>
      <c r="I80" s="13" t="s">
        <v>98</v>
      </c>
      <c r="J80" s="12"/>
      <c r="K80" s="12"/>
      <c r="L80" s="12"/>
      <c r="M80" s="12" t="s">
        <v>549</v>
      </c>
      <c r="N80" s="12" t="s">
        <v>550</v>
      </c>
      <c r="O80" s="16" t="s">
        <v>95</v>
      </c>
      <c r="P80" s="12" t="s">
        <v>551</v>
      </c>
      <c r="Q80" s="12" t="s">
        <v>552</v>
      </c>
      <c r="R80" s="13" t="s">
        <v>109</v>
      </c>
      <c r="S80" s="12" t="s">
        <v>553</v>
      </c>
      <c r="T80" s="15" t="s">
        <v>554</v>
      </c>
    </row>
    <row r="81" customFormat="false" ht="23.85" hidden="false" customHeight="false" outlineLevel="0" collapsed="false">
      <c r="A81" s="12" t="s">
        <v>505</v>
      </c>
      <c r="B81" s="12" t="s">
        <v>555</v>
      </c>
      <c r="C81" s="13" t="s">
        <v>303</v>
      </c>
      <c r="D81" s="12"/>
      <c r="E81" s="12" t="s">
        <v>548</v>
      </c>
      <c r="F81" s="13" t="s">
        <v>81</v>
      </c>
      <c r="G81" s="13" t="s">
        <v>98</v>
      </c>
      <c r="H81" s="13" t="s">
        <v>99</v>
      </c>
      <c r="I81" s="13"/>
      <c r="J81" s="12"/>
      <c r="K81" s="12"/>
      <c r="L81" s="12"/>
      <c r="M81" s="12" t="s">
        <v>556</v>
      </c>
      <c r="N81" s="12" t="s">
        <v>550</v>
      </c>
      <c r="O81" s="16" t="s">
        <v>95</v>
      </c>
      <c r="P81" s="12" t="s">
        <v>557</v>
      </c>
      <c r="Q81" s="12" t="s">
        <v>558</v>
      </c>
      <c r="R81" s="13" t="s">
        <v>168</v>
      </c>
      <c r="S81" s="12" t="s">
        <v>553</v>
      </c>
      <c r="T81" s="15" t="s">
        <v>554</v>
      </c>
    </row>
    <row r="82" customFormat="false" ht="23.85" hidden="false" customHeight="false" outlineLevel="0" collapsed="false">
      <c r="A82" s="12" t="s">
        <v>505</v>
      </c>
      <c r="B82" s="12" t="s">
        <v>559</v>
      </c>
      <c r="C82" s="13" t="s">
        <v>303</v>
      </c>
      <c r="D82" s="12"/>
      <c r="E82" s="12" t="s">
        <v>560</v>
      </c>
      <c r="F82" s="13" t="s">
        <v>561</v>
      </c>
      <c r="G82" s="13"/>
      <c r="H82" s="13"/>
      <c r="I82" s="13"/>
      <c r="J82" s="12"/>
      <c r="K82" s="12"/>
      <c r="L82" s="12"/>
      <c r="M82" s="12" t="s">
        <v>562</v>
      </c>
      <c r="N82" s="12" t="s">
        <v>563</v>
      </c>
      <c r="O82" s="16" t="s">
        <v>95</v>
      </c>
      <c r="P82" s="12" t="s">
        <v>564</v>
      </c>
      <c r="Q82" s="12" t="s">
        <v>558</v>
      </c>
      <c r="R82" s="13" t="s">
        <v>109</v>
      </c>
      <c r="S82" s="12" t="s">
        <v>553</v>
      </c>
      <c r="T82" s="15" t="s">
        <v>554</v>
      </c>
    </row>
    <row r="83" customFormat="false" ht="23.85" hidden="false" customHeight="false" outlineLevel="0" collapsed="false">
      <c r="A83" s="12" t="s">
        <v>505</v>
      </c>
      <c r="B83" s="12" t="s">
        <v>565</v>
      </c>
      <c r="C83" s="13" t="s">
        <v>303</v>
      </c>
      <c r="D83" s="12"/>
      <c r="E83" s="12" t="s">
        <v>566</v>
      </c>
      <c r="F83" s="13" t="s">
        <v>561</v>
      </c>
      <c r="G83" s="13"/>
      <c r="H83" s="13"/>
      <c r="I83" s="13"/>
      <c r="J83" s="12"/>
      <c r="K83" s="12"/>
      <c r="L83" s="12"/>
      <c r="M83" s="12" t="s">
        <v>567</v>
      </c>
      <c r="N83" s="12" t="s">
        <v>563</v>
      </c>
      <c r="O83" s="16" t="s">
        <v>95</v>
      </c>
      <c r="P83" s="12" t="s">
        <v>568</v>
      </c>
      <c r="Q83" s="12" t="s">
        <v>569</v>
      </c>
      <c r="R83" s="13" t="s">
        <v>109</v>
      </c>
      <c r="S83" s="12" t="s">
        <v>553</v>
      </c>
      <c r="T83" s="15" t="s">
        <v>554</v>
      </c>
    </row>
    <row r="84" customFormat="false" ht="23.85" hidden="false" customHeight="false" outlineLevel="0" collapsed="false">
      <c r="A84" s="12" t="s">
        <v>505</v>
      </c>
      <c r="B84" s="12" t="s">
        <v>570</v>
      </c>
      <c r="C84" s="13" t="s">
        <v>303</v>
      </c>
      <c r="D84" s="12"/>
      <c r="E84" s="12" t="s">
        <v>571</v>
      </c>
      <c r="F84" s="13" t="s">
        <v>561</v>
      </c>
      <c r="G84" s="13"/>
      <c r="H84" s="13"/>
      <c r="I84" s="13"/>
      <c r="J84" s="12"/>
      <c r="K84" s="12"/>
      <c r="L84" s="12"/>
      <c r="M84" s="12" t="s">
        <v>572</v>
      </c>
      <c r="N84" s="12" t="s">
        <v>573</v>
      </c>
      <c r="O84" s="16" t="s">
        <v>95</v>
      </c>
      <c r="P84" s="12" t="s">
        <v>574</v>
      </c>
      <c r="Q84" s="12" t="s">
        <v>558</v>
      </c>
      <c r="R84" s="13" t="s">
        <v>168</v>
      </c>
      <c r="S84" s="12" t="s">
        <v>553</v>
      </c>
      <c r="T84" s="15" t="s">
        <v>554</v>
      </c>
    </row>
    <row r="85" customFormat="false" ht="23.85" hidden="false" customHeight="false" outlineLevel="0" collapsed="false">
      <c r="A85" s="12" t="s">
        <v>505</v>
      </c>
      <c r="B85" s="12" t="s">
        <v>575</v>
      </c>
      <c r="C85" s="13" t="s">
        <v>303</v>
      </c>
      <c r="D85" s="12"/>
      <c r="E85" s="12" t="s">
        <v>576</v>
      </c>
      <c r="F85" s="13" t="s">
        <v>321</v>
      </c>
      <c r="G85" s="13"/>
      <c r="H85" s="13"/>
      <c r="I85" s="13"/>
      <c r="J85" s="12"/>
      <c r="K85" s="12"/>
      <c r="L85" s="12"/>
      <c r="M85" s="12" t="s">
        <v>577</v>
      </c>
      <c r="N85" s="12" t="s">
        <v>550</v>
      </c>
      <c r="O85" s="14" t="s">
        <v>106</v>
      </c>
      <c r="P85" s="12" t="s">
        <v>578</v>
      </c>
      <c r="Q85" s="12" t="s">
        <v>558</v>
      </c>
      <c r="R85" s="13" t="s">
        <v>168</v>
      </c>
      <c r="S85" s="12" t="s">
        <v>553</v>
      </c>
      <c r="T85" s="15" t="s">
        <v>554</v>
      </c>
    </row>
    <row r="86" customFormat="false" ht="23.85" hidden="false" customHeight="false" outlineLevel="0" collapsed="false">
      <c r="A86" s="12" t="s">
        <v>505</v>
      </c>
      <c r="B86" s="12" t="s">
        <v>579</v>
      </c>
      <c r="C86" s="13" t="s">
        <v>303</v>
      </c>
      <c r="D86" s="12"/>
      <c r="E86" s="12" t="s">
        <v>580</v>
      </c>
      <c r="F86" s="13" t="s">
        <v>321</v>
      </c>
      <c r="G86" s="13"/>
      <c r="H86" s="13"/>
      <c r="I86" s="13"/>
      <c r="J86" s="12"/>
      <c r="K86" s="12"/>
      <c r="L86" s="12"/>
      <c r="M86" s="12" t="s">
        <v>581</v>
      </c>
      <c r="N86" s="12" t="s">
        <v>523</v>
      </c>
      <c r="O86" s="14" t="s">
        <v>106</v>
      </c>
      <c r="P86" s="12" t="s">
        <v>511</v>
      </c>
      <c r="Q86" s="12" t="s">
        <v>582</v>
      </c>
      <c r="R86" s="13" t="s">
        <v>168</v>
      </c>
      <c r="S86" s="12" t="s">
        <v>553</v>
      </c>
      <c r="T86" s="15" t="s">
        <v>554</v>
      </c>
    </row>
    <row r="87" customFormat="false" ht="23.85" hidden="false" customHeight="false" outlineLevel="0" collapsed="false">
      <c r="A87" s="12" t="s">
        <v>505</v>
      </c>
      <c r="B87" s="12" t="s">
        <v>583</v>
      </c>
      <c r="C87" s="13" t="s">
        <v>303</v>
      </c>
      <c r="D87" s="12"/>
      <c r="E87" s="12" t="s">
        <v>584</v>
      </c>
      <c r="F87" s="13" t="s">
        <v>561</v>
      </c>
      <c r="G87" s="13"/>
      <c r="H87" s="13"/>
      <c r="I87" s="13"/>
      <c r="J87" s="12"/>
      <c r="K87" s="12"/>
      <c r="L87" s="12"/>
      <c r="M87" s="12" t="s">
        <v>567</v>
      </c>
      <c r="N87" s="12" t="s">
        <v>585</v>
      </c>
      <c r="O87" s="16" t="s">
        <v>95</v>
      </c>
      <c r="P87" s="12" t="s">
        <v>586</v>
      </c>
      <c r="Q87" s="12" t="s">
        <v>587</v>
      </c>
      <c r="R87" s="13" t="s">
        <v>168</v>
      </c>
      <c r="S87" s="12" t="s">
        <v>588</v>
      </c>
      <c r="T87" s="12" t="s">
        <v>589</v>
      </c>
    </row>
    <row r="88" customFormat="false" ht="26.85" hidden="false" customHeight="false" outlineLevel="0" collapsed="false">
      <c r="A88" s="11" t="s">
        <v>590</v>
      </c>
      <c r="B88" s="11"/>
      <c r="C88" s="11"/>
      <c r="D88" s="11"/>
      <c r="E88" s="11"/>
      <c r="F88" s="11"/>
      <c r="G88" s="11"/>
      <c r="H88" s="11"/>
      <c r="I88" s="11"/>
      <c r="J88" s="11"/>
      <c r="K88" s="11"/>
      <c r="L88" s="11"/>
      <c r="M88" s="11"/>
      <c r="N88" s="11"/>
      <c r="O88" s="11"/>
      <c r="P88" s="11"/>
      <c r="Q88" s="11"/>
      <c r="R88" s="11"/>
      <c r="S88" s="11"/>
      <c r="T88" s="11"/>
    </row>
    <row r="89" customFormat="false" ht="46.25" hidden="false" customHeight="false" outlineLevel="0" collapsed="false">
      <c r="A89" s="12" t="s">
        <v>590</v>
      </c>
      <c r="B89" s="12" t="s">
        <v>591</v>
      </c>
      <c r="C89" s="13" t="s">
        <v>303</v>
      </c>
      <c r="D89" s="12"/>
      <c r="E89" s="12" t="s">
        <v>592</v>
      </c>
      <c r="F89" s="13" t="s">
        <v>561</v>
      </c>
      <c r="G89" s="13"/>
      <c r="H89" s="13"/>
      <c r="I89" s="13"/>
      <c r="J89" s="12"/>
      <c r="K89" s="12"/>
      <c r="L89" s="12"/>
      <c r="M89" s="12" t="s">
        <v>593</v>
      </c>
      <c r="N89" s="12" t="s">
        <v>594</v>
      </c>
      <c r="O89" s="16" t="s">
        <v>95</v>
      </c>
      <c r="P89" s="12" t="s">
        <v>595</v>
      </c>
      <c r="Q89" s="12" t="s">
        <v>596</v>
      </c>
      <c r="R89" s="13" t="s">
        <v>109</v>
      </c>
      <c r="S89" s="12" t="s">
        <v>597</v>
      </c>
      <c r="T89" s="15" t="s">
        <v>598</v>
      </c>
    </row>
    <row r="90" customFormat="false" ht="35.05" hidden="false" customHeight="false" outlineLevel="0" collapsed="false">
      <c r="A90" s="12" t="s">
        <v>590</v>
      </c>
      <c r="B90" s="12" t="s">
        <v>599</v>
      </c>
      <c r="C90" s="13" t="s">
        <v>303</v>
      </c>
      <c r="D90" s="12"/>
      <c r="E90" s="12" t="s">
        <v>592</v>
      </c>
      <c r="F90" s="13" t="s">
        <v>561</v>
      </c>
      <c r="G90" s="13"/>
      <c r="H90" s="13"/>
      <c r="I90" s="13"/>
      <c r="J90" s="12"/>
      <c r="K90" s="12"/>
      <c r="L90" s="12"/>
      <c r="M90" s="12" t="s">
        <v>593</v>
      </c>
      <c r="N90" s="12" t="s">
        <v>594</v>
      </c>
      <c r="O90" s="16" t="s">
        <v>95</v>
      </c>
      <c r="P90" s="12" t="s">
        <v>600</v>
      </c>
      <c r="Q90" s="12" t="s">
        <v>601</v>
      </c>
      <c r="R90" s="13" t="s">
        <v>109</v>
      </c>
      <c r="S90" s="12" t="s">
        <v>602</v>
      </c>
      <c r="T90" s="15" t="s">
        <v>603</v>
      </c>
    </row>
    <row r="91" customFormat="false" ht="35.05" hidden="false" customHeight="false" outlineLevel="0" collapsed="false">
      <c r="A91" s="12" t="s">
        <v>590</v>
      </c>
      <c r="B91" s="12" t="s">
        <v>604</v>
      </c>
      <c r="C91" s="13" t="s">
        <v>303</v>
      </c>
      <c r="D91" s="12"/>
      <c r="E91" s="12" t="s">
        <v>605</v>
      </c>
      <c r="F91" s="13" t="s">
        <v>321</v>
      </c>
      <c r="G91" s="13"/>
      <c r="H91" s="13"/>
      <c r="I91" s="13"/>
      <c r="J91" s="12"/>
      <c r="K91" s="12"/>
      <c r="L91" s="12"/>
      <c r="M91" s="12" t="s">
        <v>327</v>
      </c>
      <c r="N91" s="12" t="s">
        <v>606</v>
      </c>
      <c r="O91" s="14" t="s">
        <v>106</v>
      </c>
      <c r="P91" s="12" t="s">
        <v>607</v>
      </c>
      <c r="Q91" s="12" t="s">
        <v>608</v>
      </c>
      <c r="R91" s="13" t="s">
        <v>168</v>
      </c>
      <c r="S91" s="12" t="s">
        <v>609</v>
      </c>
      <c r="T91" s="15" t="s">
        <v>598</v>
      </c>
    </row>
    <row r="92" customFormat="false" ht="23.85" hidden="false" customHeight="false" outlineLevel="0" collapsed="false">
      <c r="A92" s="12" t="s">
        <v>590</v>
      </c>
      <c r="B92" s="12" t="s">
        <v>610</v>
      </c>
      <c r="C92" s="13" t="s">
        <v>303</v>
      </c>
      <c r="D92" s="12"/>
      <c r="E92" s="12" t="s">
        <v>611</v>
      </c>
      <c r="F92" s="13" t="s">
        <v>321</v>
      </c>
      <c r="G92" s="13"/>
      <c r="H92" s="13"/>
      <c r="I92" s="13"/>
      <c r="J92" s="12"/>
      <c r="K92" s="12"/>
      <c r="L92" s="12"/>
      <c r="M92" s="12" t="s">
        <v>164</v>
      </c>
      <c r="N92" s="12" t="s">
        <v>612</v>
      </c>
      <c r="O92" s="14" t="s">
        <v>106</v>
      </c>
      <c r="P92" s="12" t="s">
        <v>613</v>
      </c>
      <c r="Q92" s="12" t="s">
        <v>614</v>
      </c>
      <c r="R92" s="13" t="s">
        <v>168</v>
      </c>
      <c r="S92" s="12" t="s">
        <v>609</v>
      </c>
      <c r="T92" s="15" t="s">
        <v>598</v>
      </c>
    </row>
    <row r="93" customFormat="false" ht="23.85" hidden="false" customHeight="false" outlineLevel="0" collapsed="false">
      <c r="A93" s="12" t="s">
        <v>590</v>
      </c>
      <c r="B93" s="12" t="s">
        <v>615</v>
      </c>
      <c r="C93" s="13" t="s">
        <v>303</v>
      </c>
      <c r="D93" s="12"/>
      <c r="E93" s="12" t="s">
        <v>616</v>
      </c>
      <c r="F93" s="13" t="s">
        <v>561</v>
      </c>
      <c r="G93" s="13"/>
      <c r="H93" s="13"/>
      <c r="I93" s="13"/>
      <c r="J93" s="12"/>
      <c r="K93" s="12"/>
      <c r="L93" s="12"/>
      <c r="M93" s="12" t="s">
        <v>567</v>
      </c>
      <c r="N93" s="12" t="s">
        <v>561</v>
      </c>
      <c r="O93" s="16" t="s">
        <v>95</v>
      </c>
      <c r="P93" s="12" t="s">
        <v>617</v>
      </c>
      <c r="Q93" s="12" t="s">
        <v>618</v>
      </c>
      <c r="R93" s="13" t="s">
        <v>260</v>
      </c>
      <c r="S93" s="12" t="s">
        <v>588</v>
      </c>
      <c r="T93" s="12" t="s">
        <v>589</v>
      </c>
    </row>
    <row r="94" customFormat="false" ht="23.85" hidden="false" customHeight="false" outlineLevel="0" collapsed="false">
      <c r="A94" s="12" t="s">
        <v>590</v>
      </c>
      <c r="B94" s="12" t="s">
        <v>619</v>
      </c>
      <c r="C94" s="13" t="s">
        <v>303</v>
      </c>
      <c r="D94" s="12"/>
      <c r="E94" s="12" t="s">
        <v>611</v>
      </c>
      <c r="F94" s="13" t="s">
        <v>321</v>
      </c>
      <c r="G94" s="13"/>
      <c r="H94" s="13"/>
      <c r="I94" s="13"/>
      <c r="J94" s="12"/>
      <c r="K94" s="12"/>
      <c r="L94" s="12"/>
      <c r="M94" s="12" t="s">
        <v>164</v>
      </c>
      <c r="N94" s="12" t="s">
        <v>265</v>
      </c>
      <c r="O94" s="14" t="s">
        <v>106</v>
      </c>
      <c r="P94" s="12" t="s">
        <v>205</v>
      </c>
      <c r="Q94" s="12" t="s">
        <v>620</v>
      </c>
      <c r="R94" s="13" t="s">
        <v>260</v>
      </c>
      <c r="S94" s="12" t="s">
        <v>621</v>
      </c>
      <c r="T94" s="15" t="s">
        <v>603</v>
      </c>
    </row>
    <row r="95" customFormat="false" ht="23.85" hidden="false" customHeight="false" outlineLevel="0" collapsed="false">
      <c r="A95" s="12" t="s">
        <v>590</v>
      </c>
      <c r="B95" s="12" t="s">
        <v>622</v>
      </c>
      <c r="C95" s="13" t="s">
        <v>303</v>
      </c>
      <c r="D95" s="12"/>
      <c r="E95" s="12" t="s">
        <v>623</v>
      </c>
      <c r="F95" s="13" t="s">
        <v>81</v>
      </c>
      <c r="G95" s="13" t="s">
        <v>98</v>
      </c>
      <c r="H95" s="13"/>
      <c r="I95" s="13" t="s">
        <v>100</v>
      </c>
      <c r="J95" s="12"/>
      <c r="K95" s="12"/>
      <c r="L95" s="12"/>
      <c r="M95" s="12" t="s">
        <v>624</v>
      </c>
      <c r="N95" s="12" t="s">
        <v>625</v>
      </c>
      <c r="O95" s="16" t="s">
        <v>95</v>
      </c>
      <c r="P95" s="12" t="s">
        <v>626</v>
      </c>
      <c r="Q95" s="12" t="s">
        <v>627</v>
      </c>
      <c r="R95" s="13" t="s">
        <v>168</v>
      </c>
      <c r="S95" s="12" t="s">
        <v>609</v>
      </c>
      <c r="T95" s="15" t="s">
        <v>598</v>
      </c>
    </row>
    <row r="96" customFormat="false" ht="39.55" hidden="false" customHeight="false" outlineLevel="0" collapsed="false">
      <c r="A96" s="11" t="s">
        <v>628</v>
      </c>
      <c r="B96" s="11"/>
      <c r="C96" s="11"/>
      <c r="D96" s="11"/>
      <c r="E96" s="11"/>
      <c r="F96" s="11"/>
      <c r="G96" s="11"/>
      <c r="H96" s="11"/>
      <c r="I96" s="11"/>
      <c r="J96" s="11"/>
      <c r="K96" s="11"/>
      <c r="L96" s="11"/>
      <c r="M96" s="11"/>
      <c r="N96" s="11"/>
      <c r="O96" s="11"/>
      <c r="P96" s="11"/>
      <c r="Q96" s="11"/>
      <c r="R96" s="11"/>
      <c r="S96" s="11"/>
      <c r="T96" s="11"/>
    </row>
    <row r="97" customFormat="false" ht="35.05" hidden="false" customHeight="false" outlineLevel="0" collapsed="false">
      <c r="A97" s="12" t="s">
        <v>628</v>
      </c>
      <c r="B97" s="12" t="s">
        <v>629</v>
      </c>
      <c r="C97" s="13" t="s">
        <v>303</v>
      </c>
      <c r="D97" s="12"/>
      <c r="E97" s="12" t="s">
        <v>630</v>
      </c>
      <c r="F97" s="13" t="s">
        <v>561</v>
      </c>
      <c r="G97" s="13"/>
      <c r="H97" s="13"/>
      <c r="I97" s="13"/>
      <c r="J97" s="12"/>
      <c r="K97" s="12"/>
      <c r="L97" s="12"/>
      <c r="M97" s="12" t="s">
        <v>499</v>
      </c>
      <c r="N97" s="12" t="s">
        <v>631</v>
      </c>
      <c r="O97" s="16" t="s">
        <v>95</v>
      </c>
      <c r="P97" s="12" t="s">
        <v>632</v>
      </c>
      <c r="Q97" s="12" t="s">
        <v>633</v>
      </c>
      <c r="R97" s="13" t="s">
        <v>109</v>
      </c>
      <c r="S97" s="12" t="s">
        <v>634</v>
      </c>
      <c r="T97" s="15" t="s">
        <v>635</v>
      </c>
    </row>
    <row r="98" customFormat="false" ht="35.05" hidden="false" customHeight="false" outlineLevel="0" collapsed="false">
      <c r="A98" s="12" t="s">
        <v>628</v>
      </c>
      <c r="B98" s="12" t="s">
        <v>636</v>
      </c>
      <c r="C98" s="13" t="s">
        <v>303</v>
      </c>
      <c r="D98" s="12"/>
      <c r="E98" s="12" t="s">
        <v>637</v>
      </c>
      <c r="F98" s="13" t="s">
        <v>561</v>
      </c>
      <c r="G98" s="13"/>
      <c r="H98" s="13"/>
      <c r="I98" s="13"/>
      <c r="J98" s="12"/>
      <c r="K98" s="12"/>
      <c r="L98" s="12"/>
      <c r="M98" s="12" t="s">
        <v>457</v>
      </c>
      <c r="N98" s="12" t="s">
        <v>638</v>
      </c>
      <c r="O98" s="16" t="s">
        <v>95</v>
      </c>
      <c r="P98" s="12" t="s">
        <v>639</v>
      </c>
      <c r="Q98" s="12" t="s">
        <v>640</v>
      </c>
      <c r="R98" s="13" t="s">
        <v>109</v>
      </c>
      <c r="S98" s="12" t="s">
        <v>641</v>
      </c>
      <c r="T98" s="15" t="s">
        <v>635</v>
      </c>
    </row>
    <row r="99" customFormat="false" ht="23.85" hidden="false" customHeight="false" outlineLevel="0" collapsed="false">
      <c r="A99" s="12" t="s">
        <v>628</v>
      </c>
      <c r="B99" s="12" t="s">
        <v>642</v>
      </c>
      <c r="C99" s="13" t="s">
        <v>303</v>
      </c>
      <c r="D99" s="12" t="s">
        <v>643</v>
      </c>
      <c r="E99" s="12" t="s">
        <v>644</v>
      </c>
      <c r="F99" s="13" t="s">
        <v>561</v>
      </c>
      <c r="G99" s="13"/>
      <c r="H99" s="13"/>
      <c r="I99" s="13"/>
      <c r="J99" s="12"/>
      <c r="K99" s="12"/>
      <c r="L99" s="12"/>
      <c r="M99" s="12" t="s">
        <v>164</v>
      </c>
      <c r="N99" s="12" t="s">
        <v>638</v>
      </c>
      <c r="O99" s="16" t="s">
        <v>95</v>
      </c>
      <c r="P99" s="12" t="s">
        <v>645</v>
      </c>
      <c r="Q99" s="12" t="s">
        <v>646</v>
      </c>
      <c r="R99" s="13" t="s">
        <v>109</v>
      </c>
      <c r="S99" s="12" t="s">
        <v>647</v>
      </c>
      <c r="T99" s="15" t="s">
        <v>648</v>
      </c>
    </row>
    <row r="100" customFormat="false" ht="23.85" hidden="false" customHeight="false" outlineLevel="0" collapsed="false">
      <c r="A100" s="12" t="s">
        <v>628</v>
      </c>
      <c r="B100" s="12" t="s">
        <v>649</v>
      </c>
      <c r="C100" s="13" t="s">
        <v>303</v>
      </c>
      <c r="D100" s="12"/>
      <c r="E100" s="12" t="s">
        <v>650</v>
      </c>
      <c r="F100" s="13" t="s">
        <v>561</v>
      </c>
      <c r="G100" s="13"/>
      <c r="H100" s="13"/>
      <c r="I100" s="13"/>
      <c r="J100" s="12"/>
      <c r="K100" s="12"/>
      <c r="L100" s="12"/>
      <c r="M100" s="12" t="s">
        <v>499</v>
      </c>
      <c r="N100" s="12" t="s">
        <v>651</v>
      </c>
      <c r="O100" s="16" t="s">
        <v>95</v>
      </c>
      <c r="P100" s="12" t="s">
        <v>652</v>
      </c>
      <c r="Q100" s="12"/>
      <c r="R100" s="13" t="s">
        <v>168</v>
      </c>
      <c r="S100" s="12" t="s">
        <v>653</v>
      </c>
      <c r="T100" s="15" t="s">
        <v>654</v>
      </c>
    </row>
    <row r="101" customFormat="false" ht="35.05" hidden="false" customHeight="false" outlineLevel="0" collapsed="false">
      <c r="A101" s="12" t="s">
        <v>628</v>
      </c>
      <c r="B101" s="12" t="s">
        <v>655</v>
      </c>
      <c r="C101" s="13" t="s">
        <v>303</v>
      </c>
      <c r="D101" s="12" t="s">
        <v>656</v>
      </c>
      <c r="E101" s="12" t="s">
        <v>657</v>
      </c>
      <c r="F101" s="13" t="s">
        <v>81</v>
      </c>
      <c r="G101" s="13" t="s">
        <v>98</v>
      </c>
      <c r="H101" s="13"/>
      <c r="I101" s="13"/>
      <c r="J101" s="12"/>
      <c r="K101" s="12"/>
      <c r="L101" s="12"/>
      <c r="M101" s="12" t="s">
        <v>189</v>
      </c>
      <c r="N101" s="12" t="s">
        <v>457</v>
      </c>
      <c r="O101" s="16" t="s">
        <v>95</v>
      </c>
      <c r="P101" s="12" t="s">
        <v>658</v>
      </c>
      <c r="Q101" s="12" t="s">
        <v>614</v>
      </c>
      <c r="R101" s="13" t="s">
        <v>109</v>
      </c>
      <c r="S101" s="12" t="s">
        <v>659</v>
      </c>
      <c r="T101" s="15" t="s">
        <v>660</v>
      </c>
    </row>
    <row r="102" customFormat="false" ht="23.85" hidden="false" customHeight="false" outlineLevel="0" collapsed="false">
      <c r="A102" s="12" t="s">
        <v>628</v>
      </c>
      <c r="B102" s="12" t="s">
        <v>661</v>
      </c>
      <c r="C102" s="13" t="s">
        <v>303</v>
      </c>
      <c r="D102" s="12"/>
      <c r="E102" s="12" t="s">
        <v>662</v>
      </c>
      <c r="F102" s="13" t="s">
        <v>321</v>
      </c>
      <c r="G102" s="13"/>
      <c r="H102" s="13"/>
      <c r="I102" s="13"/>
      <c r="J102" s="12"/>
      <c r="K102" s="12"/>
      <c r="L102" s="12"/>
      <c r="M102" s="12" t="s">
        <v>189</v>
      </c>
      <c r="N102" s="12" t="s">
        <v>164</v>
      </c>
      <c r="O102" s="14" t="s">
        <v>106</v>
      </c>
      <c r="P102" s="12" t="s">
        <v>663</v>
      </c>
      <c r="Q102" s="12" t="s">
        <v>664</v>
      </c>
      <c r="R102" s="13" t="s">
        <v>168</v>
      </c>
      <c r="S102" s="12" t="s">
        <v>647</v>
      </c>
      <c r="T102" s="15" t="s">
        <v>648</v>
      </c>
    </row>
    <row r="103" customFormat="false" ht="23.85" hidden="false" customHeight="false" outlineLevel="0" collapsed="false">
      <c r="A103" s="12" t="s">
        <v>628</v>
      </c>
      <c r="B103" s="12" t="s">
        <v>665</v>
      </c>
      <c r="C103" s="13" t="s">
        <v>303</v>
      </c>
      <c r="D103" s="12"/>
      <c r="E103" s="12" t="s">
        <v>666</v>
      </c>
      <c r="F103" s="13" t="s">
        <v>561</v>
      </c>
      <c r="G103" s="13"/>
      <c r="H103" s="13"/>
      <c r="I103" s="13"/>
      <c r="J103" s="12"/>
      <c r="K103" s="12"/>
      <c r="L103" s="12"/>
      <c r="M103" s="12" t="s">
        <v>631</v>
      </c>
      <c r="N103" s="12" t="s">
        <v>667</v>
      </c>
      <c r="O103" s="16" t="s">
        <v>95</v>
      </c>
      <c r="P103" s="12" t="s">
        <v>668</v>
      </c>
      <c r="Q103" s="12" t="s">
        <v>669</v>
      </c>
      <c r="R103" s="13" t="s">
        <v>168</v>
      </c>
      <c r="S103" s="12" t="s">
        <v>670</v>
      </c>
      <c r="T103" s="15" t="s">
        <v>635</v>
      </c>
    </row>
    <row r="104" customFormat="false" ht="23.85" hidden="false" customHeight="false" outlineLevel="0" collapsed="false">
      <c r="A104" s="12" t="s">
        <v>628</v>
      </c>
      <c r="B104" s="12" t="s">
        <v>671</v>
      </c>
      <c r="C104" s="13" t="s">
        <v>303</v>
      </c>
      <c r="D104" s="12" t="s">
        <v>672</v>
      </c>
      <c r="E104" s="12" t="s">
        <v>673</v>
      </c>
      <c r="F104" s="13" t="s">
        <v>561</v>
      </c>
      <c r="G104" s="13"/>
      <c r="H104" s="13"/>
      <c r="I104" s="13"/>
      <c r="J104" s="12"/>
      <c r="K104" s="12"/>
      <c r="L104" s="12"/>
      <c r="M104" s="12" t="s">
        <v>674</v>
      </c>
      <c r="N104" s="12" t="s">
        <v>675</v>
      </c>
      <c r="O104" s="16" t="s">
        <v>95</v>
      </c>
      <c r="P104" s="12" t="s">
        <v>676</v>
      </c>
      <c r="Q104" s="12"/>
      <c r="R104" s="13" t="s">
        <v>168</v>
      </c>
      <c r="S104" s="12" t="s">
        <v>677</v>
      </c>
      <c r="T104" s="15" t="s">
        <v>678</v>
      </c>
    </row>
    <row r="105" customFormat="false" ht="23.85" hidden="false" customHeight="false" outlineLevel="0" collapsed="false">
      <c r="A105" s="12" t="s">
        <v>628</v>
      </c>
      <c r="B105" s="12" t="s">
        <v>679</v>
      </c>
      <c r="C105" s="13" t="s">
        <v>303</v>
      </c>
      <c r="D105" s="12" t="s">
        <v>680</v>
      </c>
      <c r="E105" s="12" t="s">
        <v>681</v>
      </c>
      <c r="F105" s="13" t="s">
        <v>561</v>
      </c>
      <c r="G105" s="13"/>
      <c r="H105" s="13"/>
      <c r="I105" s="13"/>
      <c r="J105" s="12"/>
      <c r="K105" s="12"/>
      <c r="L105" s="12"/>
      <c r="M105" s="12" t="s">
        <v>164</v>
      </c>
      <c r="N105" s="12" t="s">
        <v>457</v>
      </c>
      <c r="O105" s="16" t="s">
        <v>95</v>
      </c>
      <c r="P105" s="12" t="s">
        <v>682</v>
      </c>
      <c r="Q105" s="12" t="s">
        <v>614</v>
      </c>
      <c r="R105" s="13" t="s">
        <v>168</v>
      </c>
      <c r="S105" s="12" t="s">
        <v>683</v>
      </c>
      <c r="T105" s="15" t="s">
        <v>684</v>
      </c>
    </row>
    <row r="106" customFormat="false" ht="23.85" hidden="false" customHeight="false" outlineLevel="0" collapsed="false">
      <c r="A106" s="12" t="s">
        <v>628</v>
      </c>
      <c r="B106" s="12" t="s">
        <v>685</v>
      </c>
      <c r="C106" s="13" t="s">
        <v>303</v>
      </c>
      <c r="D106" s="12"/>
      <c r="E106" s="12" t="s">
        <v>686</v>
      </c>
      <c r="F106" s="13" t="s">
        <v>321</v>
      </c>
      <c r="G106" s="13"/>
      <c r="H106" s="13"/>
      <c r="I106" s="13"/>
      <c r="J106" s="12"/>
      <c r="K106" s="12"/>
      <c r="L106" s="12"/>
      <c r="M106" s="12" t="s">
        <v>189</v>
      </c>
      <c r="N106" s="12" t="s">
        <v>457</v>
      </c>
      <c r="O106" s="13" t="s">
        <v>307</v>
      </c>
      <c r="P106" s="12" t="s">
        <v>687</v>
      </c>
      <c r="Q106" s="12"/>
      <c r="R106" s="13" t="s">
        <v>168</v>
      </c>
      <c r="S106" s="12" t="s">
        <v>683</v>
      </c>
      <c r="T106" s="15" t="s">
        <v>684</v>
      </c>
    </row>
    <row r="107" customFormat="false" ht="35.05" hidden="false" customHeight="false" outlineLevel="0" collapsed="false">
      <c r="A107" s="12" t="s">
        <v>628</v>
      </c>
      <c r="B107" s="12" t="s">
        <v>688</v>
      </c>
      <c r="C107" s="13" t="s">
        <v>303</v>
      </c>
      <c r="D107" s="12"/>
      <c r="E107" s="12" t="s">
        <v>689</v>
      </c>
      <c r="F107" s="13" t="s">
        <v>561</v>
      </c>
      <c r="G107" s="13"/>
      <c r="H107" s="13"/>
      <c r="I107" s="13"/>
      <c r="J107" s="12"/>
      <c r="K107" s="12"/>
      <c r="L107" s="12"/>
      <c r="M107" s="12" t="s">
        <v>593</v>
      </c>
      <c r="N107" s="12" t="s">
        <v>690</v>
      </c>
      <c r="O107" s="16" t="s">
        <v>95</v>
      </c>
      <c r="P107" s="12" t="s">
        <v>691</v>
      </c>
      <c r="Q107" s="12" t="s">
        <v>692</v>
      </c>
      <c r="R107" s="13" t="s">
        <v>260</v>
      </c>
      <c r="S107" s="12" t="s">
        <v>588</v>
      </c>
      <c r="T107" s="12" t="s">
        <v>589</v>
      </c>
    </row>
    <row r="108" customFormat="false" ht="23.85" hidden="false" customHeight="false" outlineLevel="0" collapsed="false">
      <c r="A108" s="12" t="s">
        <v>628</v>
      </c>
      <c r="B108" s="12" t="s">
        <v>693</v>
      </c>
      <c r="C108" s="13" t="s">
        <v>303</v>
      </c>
      <c r="D108" s="12"/>
      <c r="E108" s="12" t="s">
        <v>694</v>
      </c>
      <c r="F108" s="13" t="s">
        <v>321</v>
      </c>
      <c r="G108" s="13"/>
      <c r="H108" s="13"/>
      <c r="I108" s="13"/>
      <c r="J108" s="12"/>
      <c r="K108" s="12"/>
      <c r="L108" s="12"/>
      <c r="M108" s="12" t="s">
        <v>457</v>
      </c>
      <c r="N108" s="12" t="s">
        <v>695</v>
      </c>
      <c r="O108" s="14" t="s">
        <v>106</v>
      </c>
      <c r="P108" s="12" t="s">
        <v>696</v>
      </c>
      <c r="Q108" s="12" t="s">
        <v>697</v>
      </c>
      <c r="R108" s="13" t="s">
        <v>168</v>
      </c>
      <c r="S108" s="12" t="s">
        <v>698</v>
      </c>
      <c r="T108" s="15" t="s">
        <v>684</v>
      </c>
    </row>
    <row r="109" customFormat="false" ht="39.55" hidden="false" customHeight="false" outlineLevel="0" collapsed="false">
      <c r="A109" s="11" t="s">
        <v>699</v>
      </c>
      <c r="B109" s="11"/>
      <c r="C109" s="11"/>
      <c r="D109" s="11"/>
      <c r="E109" s="11"/>
      <c r="F109" s="11"/>
      <c r="G109" s="11"/>
      <c r="H109" s="11"/>
      <c r="I109" s="11"/>
      <c r="J109" s="11"/>
      <c r="K109" s="11"/>
      <c r="L109" s="11"/>
      <c r="M109" s="11"/>
      <c r="N109" s="11"/>
      <c r="O109" s="11"/>
      <c r="P109" s="11"/>
      <c r="Q109" s="11"/>
      <c r="R109" s="11"/>
      <c r="S109" s="11"/>
      <c r="T109" s="11"/>
    </row>
    <row r="110" customFormat="false" ht="23.85" hidden="false" customHeight="false" outlineLevel="0" collapsed="false">
      <c r="A110" s="12" t="s">
        <v>699</v>
      </c>
      <c r="B110" s="12" t="s">
        <v>700</v>
      </c>
      <c r="C110" s="13" t="s">
        <v>303</v>
      </c>
      <c r="D110" s="12"/>
      <c r="E110" s="12" t="s">
        <v>701</v>
      </c>
      <c r="F110" s="13" t="s">
        <v>561</v>
      </c>
      <c r="G110" s="13"/>
      <c r="H110" s="13"/>
      <c r="I110" s="13"/>
      <c r="J110" s="12"/>
      <c r="K110" s="12"/>
      <c r="L110" s="12"/>
      <c r="M110" s="12" t="s">
        <v>702</v>
      </c>
      <c r="N110" s="12" t="s">
        <v>667</v>
      </c>
      <c r="O110" s="16" t="s">
        <v>95</v>
      </c>
      <c r="P110" s="12" t="s">
        <v>703</v>
      </c>
      <c r="Q110" s="12" t="s">
        <v>704</v>
      </c>
      <c r="R110" s="13" t="s">
        <v>168</v>
      </c>
      <c r="S110" s="12" t="s">
        <v>705</v>
      </c>
      <c r="T110" s="15" t="s">
        <v>706</v>
      </c>
    </row>
    <row r="111" customFormat="false" ht="23.85" hidden="false" customHeight="false" outlineLevel="0" collapsed="false">
      <c r="A111" s="12" t="s">
        <v>699</v>
      </c>
      <c r="B111" s="12" t="s">
        <v>707</v>
      </c>
      <c r="C111" s="13" t="s">
        <v>303</v>
      </c>
      <c r="D111" s="12"/>
      <c r="E111" s="12" t="s">
        <v>708</v>
      </c>
      <c r="F111" s="13" t="s">
        <v>561</v>
      </c>
      <c r="G111" s="13"/>
      <c r="H111" s="13"/>
      <c r="I111" s="13"/>
      <c r="J111" s="12"/>
      <c r="K111" s="12"/>
      <c r="L111" s="12"/>
      <c r="M111" s="12" t="s">
        <v>702</v>
      </c>
      <c r="N111" s="12" t="s">
        <v>667</v>
      </c>
      <c r="O111" s="16" t="s">
        <v>95</v>
      </c>
      <c r="P111" s="12" t="s">
        <v>709</v>
      </c>
      <c r="Q111" s="12" t="s">
        <v>710</v>
      </c>
      <c r="R111" s="13" t="s">
        <v>168</v>
      </c>
      <c r="S111" s="12" t="s">
        <v>705</v>
      </c>
      <c r="T111" s="15" t="s">
        <v>706</v>
      </c>
    </row>
    <row r="112" customFormat="false" ht="23.85" hidden="false" customHeight="false" outlineLevel="0" collapsed="false">
      <c r="A112" s="12" t="s">
        <v>699</v>
      </c>
      <c r="B112" s="12" t="s">
        <v>711</v>
      </c>
      <c r="C112" s="13" t="s">
        <v>303</v>
      </c>
      <c r="D112" s="12"/>
      <c r="E112" s="12" t="s">
        <v>712</v>
      </c>
      <c r="F112" s="13" t="s">
        <v>561</v>
      </c>
      <c r="G112" s="13"/>
      <c r="H112" s="13"/>
      <c r="I112" s="13"/>
      <c r="J112" s="12"/>
      <c r="K112" s="12"/>
      <c r="L112" s="12"/>
      <c r="M112" s="12" t="s">
        <v>567</v>
      </c>
      <c r="N112" s="12" t="s">
        <v>713</v>
      </c>
      <c r="O112" s="16" t="s">
        <v>95</v>
      </c>
      <c r="P112" s="12" t="s">
        <v>714</v>
      </c>
      <c r="Q112" s="12" t="s">
        <v>715</v>
      </c>
      <c r="R112" s="13" t="s">
        <v>168</v>
      </c>
      <c r="S112" s="12" t="s">
        <v>677</v>
      </c>
      <c r="T112" s="15" t="s">
        <v>678</v>
      </c>
    </row>
    <row r="113" customFormat="false" ht="23.85" hidden="false" customHeight="false" outlineLevel="0" collapsed="false">
      <c r="A113" s="12" t="s">
        <v>699</v>
      </c>
      <c r="B113" s="12" t="s">
        <v>716</v>
      </c>
      <c r="C113" s="13" t="s">
        <v>303</v>
      </c>
      <c r="D113" s="12"/>
      <c r="E113" s="12" t="s">
        <v>717</v>
      </c>
      <c r="F113" s="13" t="s">
        <v>561</v>
      </c>
      <c r="G113" s="13"/>
      <c r="H113" s="13"/>
      <c r="I113" s="13"/>
      <c r="J113" s="12"/>
      <c r="K113" s="12"/>
      <c r="L113" s="12"/>
      <c r="M113" s="12" t="s">
        <v>499</v>
      </c>
      <c r="N113" s="12" t="s">
        <v>631</v>
      </c>
      <c r="O113" s="16" t="s">
        <v>95</v>
      </c>
      <c r="P113" s="12" t="s">
        <v>703</v>
      </c>
      <c r="Q113" s="12"/>
      <c r="R113" s="13" t="s">
        <v>168</v>
      </c>
      <c r="S113" s="12" t="s">
        <v>705</v>
      </c>
      <c r="T113" s="15" t="s">
        <v>706</v>
      </c>
    </row>
    <row r="114" customFormat="false" ht="23.85" hidden="false" customHeight="false" outlineLevel="0" collapsed="false">
      <c r="A114" s="12" t="s">
        <v>699</v>
      </c>
      <c r="B114" s="12" t="s">
        <v>718</v>
      </c>
      <c r="C114" s="13" t="s">
        <v>303</v>
      </c>
      <c r="D114" s="12"/>
      <c r="E114" s="12" t="s">
        <v>719</v>
      </c>
      <c r="F114" s="13" t="s">
        <v>561</v>
      </c>
      <c r="G114" s="13"/>
      <c r="H114" s="13"/>
      <c r="I114" s="13"/>
      <c r="J114" s="12"/>
      <c r="K114" s="12"/>
      <c r="L114" s="12"/>
      <c r="M114" s="12" t="s">
        <v>492</v>
      </c>
      <c r="N114" s="12" t="s">
        <v>631</v>
      </c>
      <c r="O114" s="16" t="s">
        <v>95</v>
      </c>
      <c r="P114" s="12" t="s">
        <v>720</v>
      </c>
      <c r="Q114" s="12"/>
      <c r="R114" s="13" t="s">
        <v>168</v>
      </c>
      <c r="S114" s="12" t="s">
        <v>705</v>
      </c>
      <c r="T114" s="15" t="s">
        <v>706</v>
      </c>
    </row>
    <row r="115" customFormat="false" ht="15" hidden="false" customHeight="false" outlineLevel="0" collapsed="false">
      <c r="A115" s="11" t="s">
        <v>721</v>
      </c>
      <c r="B115" s="11"/>
      <c r="C115" s="11"/>
      <c r="D115" s="11"/>
      <c r="E115" s="11"/>
      <c r="F115" s="11"/>
      <c r="G115" s="11"/>
      <c r="H115" s="11"/>
      <c r="I115" s="11"/>
      <c r="J115" s="11"/>
      <c r="K115" s="11"/>
      <c r="L115" s="11"/>
      <c r="M115" s="11"/>
      <c r="N115" s="11"/>
      <c r="O115" s="11"/>
      <c r="P115" s="11"/>
      <c r="Q115" s="11"/>
      <c r="R115" s="11"/>
      <c r="S115" s="11"/>
      <c r="T115" s="11"/>
    </row>
    <row r="116" customFormat="false" ht="35.05" hidden="false" customHeight="false" outlineLevel="0" collapsed="false">
      <c r="A116" s="12" t="s">
        <v>721</v>
      </c>
      <c r="B116" s="12" t="s">
        <v>722</v>
      </c>
      <c r="C116" s="13" t="s">
        <v>303</v>
      </c>
      <c r="D116" s="12"/>
      <c r="E116" s="12" t="s">
        <v>723</v>
      </c>
      <c r="F116" s="13" t="s">
        <v>561</v>
      </c>
      <c r="G116" s="13"/>
      <c r="H116" s="13"/>
      <c r="I116" s="13"/>
      <c r="J116" s="12"/>
      <c r="K116" s="12"/>
      <c r="L116" s="12"/>
      <c r="M116" s="12" t="s">
        <v>593</v>
      </c>
      <c r="N116" s="12" t="s">
        <v>573</v>
      </c>
      <c r="O116" s="16" t="s">
        <v>95</v>
      </c>
      <c r="P116" s="12" t="s">
        <v>724</v>
      </c>
      <c r="Q116" s="12" t="s">
        <v>725</v>
      </c>
      <c r="R116" s="13" t="s">
        <v>109</v>
      </c>
      <c r="S116" s="12" t="s">
        <v>726</v>
      </c>
      <c r="T116" s="15" t="s">
        <v>635</v>
      </c>
    </row>
    <row r="117" customFormat="false" ht="15" hidden="false" customHeight="false" outlineLevel="0" collapsed="false">
      <c r="A117" s="12" t="s">
        <v>721</v>
      </c>
      <c r="B117" s="12" t="s">
        <v>727</v>
      </c>
      <c r="C117" s="13" t="s">
        <v>303</v>
      </c>
      <c r="D117" s="12"/>
      <c r="E117" s="12" t="s">
        <v>728</v>
      </c>
      <c r="F117" s="13" t="s">
        <v>561</v>
      </c>
      <c r="G117" s="13"/>
      <c r="H117" s="13"/>
      <c r="I117" s="13"/>
      <c r="J117" s="12"/>
      <c r="K117" s="12"/>
      <c r="L117" s="12"/>
      <c r="M117" s="12" t="s">
        <v>593</v>
      </c>
      <c r="N117" s="12" t="s">
        <v>550</v>
      </c>
      <c r="O117" s="16" t="s">
        <v>95</v>
      </c>
      <c r="P117" s="12" t="s">
        <v>729</v>
      </c>
      <c r="Q117" s="12" t="s">
        <v>730</v>
      </c>
      <c r="R117" s="13" t="s">
        <v>168</v>
      </c>
      <c r="S117" s="12" t="s">
        <v>731</v>
      </c>
      <c r="T117" s="15" t="s">
        <v>732</v>
      </c>
    </row>
    <row r="118" customFormat="false" ht="15" hidden="false" customHeight="false" outlineLevel="0" collapsed="false">
      <c r="A118" s="12" t="s">
        <v>721</v>
      </c>
      <c r="B118" s="12" t="s">
        <v>733</v>
      </c>
      <c r="C118" s="13" t="s">
        <v>303</v>
      </c>
      <c r="D118" s="12"/>
      <c r="E118" s="12" t="s">
        <v>734</v>
      </c>
      <c r="F118" s="13" t="s">
        <v>561</v>
      </c>
      <c r="G118" s="13"/>
      <c r="H118" s="13"/>
      <c r="I118" s="13"/>
      <c r="J118" s="12"/>
      <c r="K118" s="12"/>
      <c r="L118" s="12"/>
      <c r="M118" s="12" t="s">
        <v>593</v>
      </c>
      <c r="N118" s="12" t="s">
        <v>550</v>
      </c>
      <c r="O118" s="16" t="s">
        <v>95</v>
      </c>
      <c r="P118" s="12" t="s">
        <v>735</v>
      </c>
      <c r="Q118" s="12"/>
      <c r="R118" s="13" t="s">
        <v>168</v>
      </c>
      <c r="S118" s="12" t="s">
        <v>731</v>
      </c>
      <c r="T118" s="15" t="s">
        <v>732</v>
      </c>
    </row>
    <row r="119" customFormat="false" ht="23.85" hidden="false" customHeight="false" outlineLevel="0" collapsed="false">
      <c r="A119" s="12" t="s">
        <v>721</v>
      </c>
      <c r="B119" s="12" t="s">
        <v>736</v>
      </c>
      <c r="C119" s="13" t="s">
        <v>303</v>
      </c>
      <c r="D119" s="12"/>
      <c r="E119" s="12" t="s">
        <v>737</v>
      </c>
      <c r="F119" s="13" t="s">
        <v>561</v>
      </c>
      <c r="G119" s="13"/>
      <c r="H119" s="13"/>
      <c r="I119" s="13"/>
      <c r="J119" s="12"/>
      <c r="K119" s="12"/>
      <c r="L119" s="12"/>
      <c r="M119" s="12" t="s">
        <v>593</v>
      </c>
      <c r="N119" s="12" t="s">
        <v>550</v>
      </c>
      <c r="O119" s="16" t="s">
        <v>95</v>
      </c>
      <c r="P119" s="12" t="s">
        <v>738</v>
      </c>
      <c r="Q119" s="12" t="s">
        <v>739</v>
      </c>
      <c r="R119" s="13" t="s">
        <v>168</v>
      </c>
      <c r="S119" s="12" t="s">
        <v>731</v>
      </c>
      <c r="T119" s="15" t="s">
        <v>732</v>
      </c>
    </row>
    <row r="120" customFormat="false" ht="26.85" hidden="false" customHeight="false" outlineLevel="0" collapsed="false">
      <c r="A120" s="11" t="s">
        <v>740</v>
      </c>
      <c r="B120" s="11"/>
      <c r="C120" s="11"/>
      <c r="D120" s="11"/>
      <c r="E120" s="11"/>
      <c r="F120" s="11"/>
      <c r="G120" s="11"/>
      <c r="H120" s="11"/>
      <c r="I120" s="11"/>
      <c r="J120" s="11"/>
      <c r="K120" s="11"/>
      <c r="L120" s="11"/>
      <c r="M120" s="11"/>
      <c r="N120" s="11"/>
      <c r="O120" s="11"/>
      <c r="P120" s="11"/>
      <c r="Q120" s="11"/>
      <c r="R120" s="11"/>
      <c r="S120" s="11"/>
      <c r="T120" s="11"/>
    </row>
    <row r="121" customFormat="false" ht="35.05" hidden="false" customHeight="false" outlineLevel="0" collapsed="false">
      <c r="A121" s="12" t="s">
        <v>740</v>
      </c>
      <c r="B121" s="12" t="s">
        <v>741</v>
      </c>
      <c r="C121" s="13" t="s">
        <v>303</v>
      </c>
      <c r="D121" s="12"/>
      <c r="E121" s="12" t="s">
        <v>742</v>
      </c>
      <c r="F121" s="13" t="s">
        <v>561</v>
      </c>
      <c r="G121" s="13"/>
      <c r="H121" s="13"/>
      <c r="I121" s="13"/>
      <c r="J121" s="12"/>
      <c r="K121" s="12"/>
      <c r="L121" s="12"/>
      <c r="M121" s="12" t="s">
        <v>674</v>
      </c>
      <c r="N121" s="12" t="s">
        <v>702</v>
      </c>
      <c r="O121" s="16" t="s">
        <v>95</v>
      </c>
      <c r="P121" s="12" t="s">
        <v>743</v>
      </c>
      <c r="Q121" s="12" t="s">
        <v>744</v>
      </c>
      <c r="R121" s="13" t="s">
        <v>168</v>
      </c>
      <c r="S121" s="12" t="s">
        <v>745</v>
      </c>
      <c r="T121" s="15" t="s">
        <v>635</v>
      </c>
    </row>
    <row r="122" customFormat="false" ht="23.85" hidden="false" customHeight="false" outlineLevel="0" collapsed="false">
      <c r="A122" s="12" t="s">
        <v>740</v>
      </c>
      <c r="B122" s="12" t="s">
        <v>746</v>
      </c>
      <c r="C122" s="13" t="s">
        <v>303</v>
      </c>
      <c r="D122" s="12"/>
      <c r="E122" s="12" t="s">
        <v>747</v>
      </c>
      <c r="F122" s="13" t="s">
        <v>321</v>
      </c>
      <c r="G122" s="13"/>
      <c r="H122" s="13"/>
      <c r="I122" s="13"/>
      <c r="J122" s="12"/>
      <c r="K122" s="12"/>
      <c r="L122" s="12"/>
      <c r="M122" s="12" t="s">
        <v>674</v>
      </c>
      <c r="N122" s="12" t="s">
        <v>702</v>
      </c>
      <c r="O122" s="14" t="s">
        <v>106</v>
      </c>
      <c r="P122" s="12" t="s">
        <v>748</v>
      </c>
      <c r="Q122" s="12"/>
      <c r="R122" s="13" t="s">
        <v>168</v>
      </c>
      <c r="S122" s="12" t="s">
        <v>683</v>
      </c>
      <c r="T122" s="15" t="s">
        <v>684</v>
      </c>
    </row>
    <row r="123" customFormat="false" ht="23.85" hidden="false" customHeight="false" outlineLevel="0" collapsed="false">
      <c r="A123" s="12" t="s">
        <v>740</v>
      </c>
      <c r="B123" s="12" t="s">
        <v>749</v>
      </c>
      <c r="C123" s="13" t="s">
        <v>303</v>
      </c>
      <c r="D123" s="12"/>
      <c r="E123" s="12" t="s">
        <v>750</v>
      </c>
      <c r="F123" s="13" t="s">
        <v>321</v>
      </c>
      <c r="G123" s="13"/>
      <c r="H123" s="13"/>
      <c r="I123" s="13"/>
      <c r="J123" s="12"/>
      <c r="K123" s="12"/>
      <c r="L123" s="12"/>
      <c r="M123" s="12" t="s">
        <v>189</v>
      </c>
      <c r="N123" s="12" t="s">
        <v>751</v>
      </c>
      <c r="O123" s="14" t="s">
        <v>106</v>
      </c>
      <c r="P123" s="12" t="s">
        <v>752</v>
      </c>
      <c r="Q123" s="12"/>
      <c r="R123" s="13" t="s">
        <v>168</v>
      </c>
      <c r="S123" s="12" t="s">
        <v>683</v>
      </c>
      <c r="T123" s="15" t="s">
        <v>684</v>
      </c>
    </row>
    <row r="124" customFormat="false" ht="23.85" hidden="false" customHeight="false" outlineLevel="0" collapsed="false">
      <c r="A124" s="12" t="s">
        <v>740</v>
      </c>
      <c r="B124" s="12" t="s">
        <v>753</v>
      </c>
      <c r="C124" s="13" t="s">
        <v>303</v>
      </c>
      <c r="D124" s="12"/>
      <c r="E124" s="12" t="s">
        <v>754</v>
      </c>
      <c r="F124" s="13" t="s">
        <v>321</v>
      </c>
      <c r="G124" s="13"/>
      <c r="H124" s="13"/>
      <c r="I124" s="13"/>
      <c r="J124" s="12"/>
      <c r="K124" s="12"/>
      <c r="L124" s="12"/>
      <c r="M124" s="12" t="s">
        <v>189</v>
      </c>
      <c r="N124" s="12" t="s">
        <v>164</v>
      </c>
      <c r="O124" s="14" t="s">
        <v>106</v>
      </c>
      <c r="P124" s="12" t="s">
        <v>755</v>
      </c>
      <c r="Q124" s="12" t="s">
        <v>756</v>
      </c>
      <c r="R124" s="13" t="s">
        <v>168</v>
      </c>
      <c r="S124" s="12" t="s">
        <v>683</v>
      </c>
      <c r="T124" s="15" t="s">
        <v>684</v>
      </c>
    </row>
    <row r="125" customFormat="false" ht="23.85" hidden="false" customHeight="false" outlineLevel="0" collapsed="false">
      <c r="A125" s="12" t="s">
        <v>740</v>
      </c>
      <c r="B125" s="12" t="s">
        <v>757</v>
      </c>
      <c r="C125" s="13" t="s">
        <v>303</v>
      </c>
      <c r="D125" s="12" t="s">
        <v>758</v>
      </c>
      <c r="E125" s="12" t="s">
        <v>759</v>
      </c>
      <c r="F125" s="13" t="s">
        <v>81</v>
      </c>
      <c r="G125" s="13" t="s">
        <v>98</v>
      </c>
      <c r="H125" s="13"/>
      <c r="I125" s="13" t="s">
        <v>100</v>
      </c>
      <c r="J125" s="12"/>
      <c r="K125" s="12"/>
      <c r="L125" s="12"/>
      <c r="M125" s="12" t="s">
        <v>760</v>
      </c>
      <c r="N125" s="12" t="s">
        <v>189</v>
      </c>
      <c r="O125" s="13" t="s">
        <v>307</v>
      </c>
      <c r="P125" s="12" t="s">
        <v>761</v>
      </c>
      <c r="Q125" s="12"/>
      <c r="R125" s="13" t="s">
        <v>168</v>
      </c>
      <c r="S125" s="12" t="s">
        <v>762</v>
      </c>
      <c r="T125" s="15" t="s">
        <v>684</v>
      </c>
    </row>
    <row r="126" customFormat="false" ht="35.05" hidden="false" customHeight="false" outlineLevel="0" collapsed="false">
      <c r="A126" s="12" t="s">
        <v>740</v>
      </c>
      <c r="B126" s="12" t="s">
        <v>763</v>
      </c>
      <c r="C126" s="13" t="s">
        <v>303</v>
      </c>
      <c r="D126" s="12"/>
      <c r="E126" s="12" t="s">
        <v>764</v>
      </c>
      <c r="F126" s="13" t="s">
        <v>561</v>
      </c>
      <c r="G126" s="13"/>
      <c r="H126" s="13"/>
      <c r="I126" s="13"/>
      <c r="J126" s="12"/>
      <c r="K126" s="12"/>
      <c r="L126" s="12"/>
      <c r="M126" s="12" t="s">
        <v>164</v>
      </c>
      <c r="N126" s="12" t="s">
        <v>765</v>
      </c>
      <c r="O126" s="16" t="s">
        <v>95</v>
      </c>
      <c r="P126" s="12" t="s">
        <v>766</v>
      </c>
      <c r="Q126" s="12" t="s">
        <v>767</v>
      </c>
      <c r="R126" s="13" t="s">
        <v>260</v>
      </c>
      <c r="S126" s="12" t="s">
        <v>768</v>
      </c>
      <c r="T126" s="15" t="s">
        <v>678</v>
      </c>
    </row>
    <row r="127" customFormat="false" ht="23.85" hidden="false" customHeight="false" outlineLevel="0" collapsed="false">
      <c r="A127" s="12" t="s">
        <v>740</v>
      </c>
      <c r="B127" s="12" t="s">
        <v>769</v>
      </c>
      <c r="C127" s="13" t="s">
        <v>95</v>
      </c>
      <c r="D127" s="12"/>
      <c r="E127" s="12" t="s">
        <v>770</v>
      </c>
      <c r="F127" s="13" t="s">
        <v>327</v>
      </c>
      <c r="G127" s="13"/>
      <c r="H127" s="13"/>
      <c r="I127" s="13" t="s">
        <v>99</v>
      </c>
      <c r="J127" s="12"/>
      <c r="K127" s="12"/>
      <c r="L127" s="12" t="s">
        <v>229</v>
      </c>
      <c r="M127" s="12" t="s">
        <v>244</v>
      </c>
      <c r="N127" s="12" t="s">
        <v>244</v>
      </c>
      <c r="O127" s="14" t="s">
        <v>106</v>
      </c>
      <c r="P127" s="12"/>
      <c r="Q127" s="12" t="s">
        <v>771</v>
      </c>
      <c r="R127" s="13" t="s">
        <v>260</v>
      </c>
      <c r="S127" s="12" t="s">
        <v>330</v>
      </c>
      <c r="T127" s="12" t="s">
        <v>331</v>
      </c>
    </row>
    <row r="128" customFormat="false" ht="23.85" hidden="false" customHeight="false" outlineLevel="0" collapsed="false">
      <c r="A128" s="12" t="s">
        <v>740</v>
      </c>
      <c r="B128" s="12" t="s">
        <v>772</v>
      </c>
      <c r="C128" s="13" t="s">
        <v>95</v>
      </c>
      <c r="D128" s="12"/>
      <c r="E128" s="12" t="s">
        <v>773</v>
      </c>
      <c r="F128" s="13" t="s">
        <v>327</v>
      </c>
      <c r="G128" s="13" t="s">
        <v>99</v>
      </c>
      <c r="H128" s="13"/>
      <c r="I128" s="13"/>
      <c r="J128" s="12" t="s">
        <v>229</v>
      </c>
      <c r="K128" s="12"/>
      <c r="L128" s="12"/>
      <c r="M128" s="12" t="s">
        <v>244</v>
      </c>
      <c r="N128" s="12" t="s">
        <v>244</v>
      </c>
      <c r="O128" s="14" t="s">
        <v>106</v>
      </c>
      <c r="P128" s="12"/>
      <c r="Q128" s="12" t="s">
        <v>774</v>
      </c>
      <c r="R128" s="13" t="s">
        <v>260</v>
      </c>
      <c r="S128" s="12" t="s">
        <v>330</v>
      </c>
      <c r="T128" s="12" t="s">
        <v>331</v>
      </c>
    </row>
    <row r="129" customFormat="false" ht="23.85" hidden="false" customHeight="false" outlineLevel="0" collapsed="false">
      <c r="A129" s="12" t="s">
        <v>740</v>
      </c>
      <c r="B129" s="12" t="s">
        <v>775</v>
      </c>
      <c r="C129" s="13" t="s">
        <v>95</v>
      </c>
      <c r="D129" s="12"/>
      <c r="E129" s="12" t="s">
        <v>776</v>
      </c>
      <c r="F129" s="13" t="s">
        <v>327</v>
      </c>
      <c r="G129" s="13"/>
      <c r="H129" s="13"/>
      <c r="I129" s="13" t="s">
        <v>99</v>
      </c>
      <c r="J129" s="12"/>
      <c r="K129" s="12"/>
      <c r="L129" s="12" t="s">
        <v>777</v>
      </c>
      <c r="M129" s="12" t="s">
        <v>244</v>
      </c>
      <c r="N129" s="12" t="s">
        <v>244</v>
      </c>
      <c r="O129" s="14" t="s">
        <v>106</v>
      </c>
      <c r="P129" s="12"/>
      <c r="Q129" s="12" t="s">
        <v>778</v>
      </c>
      <c r="R129" s="13" t="s">
        <v>260</v>
      </c>
      <c r="S129" s="12" t="s">
        <v>330</v>
      </c>
      <c r="T129" s="12" t="s">
        <v>331</v>
      </c>
    </row>
    <row r="130" customFormat="false" ht="23.85" hidden="false" customHeight="false" outlineLevel="0" collapsed="false">
      <c r="A130" s="12" t="s">
        <v>740</v>
      </c>
      <c r="B130" s="12" t="s">
        <v>779</v>
      </c>
      <c r="C130" s="13" t="s">
        <v>95</v>
      </c>
      <c r="D130" s="12"/>
      <c r="E130" s="12" t="s">
        <v>780</v>
      </c>
      <c r="F130" s="13" t="s">
        <v>327</v>
      </c>
      <c r="G130" s="13" t="s">
        <v>99</v>
      </c>
      <c r="H130" s="13"/>
      <c r="I130" s="13" t="s">
        <v>99</v>
      </c>
      <c r="J130" s="12" t="s">
        <v>777</v>
      </c>
      <c r="K130" s="12"/>
      <c r="L130" s="12" t="s">
        <v>777</v>
      </c>
      <c r="M130" s="12" t="s">
        <v>164</v>
      </c>
      <c r="N130" s="12" t="s">
        <v>368</v>
      </c>
      <c r="O130" s="13" t="s">
        <v>307</v>
      </c>
      <c r="P130" s="12"/>
      <c r="Q130" s="12" t="s">
        <v>781</v>
      </c>
      <c r="R130" s="13" t="s">
        <v>260</v>
      </c>
      <c r="S130" s="12" t="s">
        <v>330</v>
      </c>
      <c r="T130" s="12" t="s">
        <v>331</v>
      </c>
    </row>
    <row r="131" customFormat="false" ht="26.85" hidden="false" customHeight="false" outlineLevel="0" collapsed="false">
      <c r="A131" s="11" t="s">
        <v>782</v>
      </c>
      <c r="B131" s="11"/>
      <c r="C131" s="11"/>
      <c r="D131" s="11"/>
      <c r="E131" s="11"/>
      <c r="F131" s="11"/>
      <c r="G131" s="11"/>
      <c r="H131" s="11"/>
      <c r="I131" s="11"/>
      <c r="J131" s="11"/>
      <c r="K131" s="11"/>
      <c r="L131" s="11"/>
      <c r="M131" s="11"/>
      <c r="N131" s="11"/>
      <c r="O131" s="11"/>
      <c r="P131" s="11"/>
      <c r="Q131" s="11"/>
      <c r="R131" s="11"/>
      <c r="S131" s="11"/>
      <c r="T131" s="11"/>
    </row>
    <row r="132" customFormat="false" ht="35.05" hidden="false" customHeight="false" outlineLevel="0" collapsed="false">
      <c r="A132" s="12" t="s">
        <v>782</v>
      </c>
      <c r="B132" s="12" t="s">
        <v>783</v>
      </c>
      <c r="C132" s="13" t="s">
        <v>303</v>
      </c>
      <c r="D132" s="12"/>
      <c r="E132" s="12" t="s">
        <v>784</v>
      </c>
      <c r="F132" s="13" t="s">
        <v>327</v>
      </c>
      <c r="G132" s="13" t="s">
        <v>99</v>
      </c>
      <c r="H132" s="13" t="s">
        <v>99</v>
      </c>
      <c r="I132" s="13" t="s">
        <v>99</v>
      </c>
      <c r="J132" s="12"/>
      <c r="K132" s="12"/>
      <c r="L132" s="12"/>
      <c r="M132" s="12" t="s">
        <v>785</v>
      </c>
      <c r="N132" s="12" t="s">
        <v>786</v>
      </c>
      <c r="O132" s="13" t="s">
        <v>307</v>
      </c>
      <c r="P132" s="12" t="s">
        <v>787</v>
      </c>
      <c r="Q132" s="12" t="s">
        <v>788</v>
      </c>
      <c r="R132" s="13" t="s">
        <v>109</v>
      </c>
      <c r="S132" s="12" t="s">
        <v>789</v>
      </c>
      <c r="T132" s="15" t="s">
        <v>790</v>
      </c>
    </row>
    <row r="133" customFormat="false" ht="23.85" hidden="false" customHeight="false" outlineLevel="0" collapsed="false">
      <c r="A133" s="12" t="s">
        <v>782</v>
      </c>
      <c r="B133" s="12" t="s">
        <v>791</v>
      </c>
      <c r="C133" s="13" t="s">
        <v>303</v>
      </c>
      <c r="D133" s="12"/>
      <c r="E133" s="12" t="s">
        <v>792</v>
      </c>
      <c r="F133" s="13" t="s">
        <v>327</v>
      </c>
      <c r="G133" s="13" t="s">
        <v>99</v>
      </c>
      <c r="H133" s="13" t="s">
        <v>99</v>
      </c>
      <c r="I133" s="13" t="s">
        <v>99</v>
      </c>
      <c r="J133" s="12"/>
      <c r="K133" s="12"/>
      <c r="L133" s="12"/>
      <c r="M133" s="12" t="s">
        <v>189</v>
      </c>
      <c r="N133" s="12" t="s">
        <v>793</v>
      </c>
      <c r="O133" s="13" t="s">
        <v>307</v>
      </c>
      <c r="P133" s="12" t="s">
        <v>794</v>
      </c>
      <c r="Q133" s="12" t="s">
        <v>795</v>
      </c>
      <c r="R133" s="13" t="s">
        <v>168</v>
      </c>
      <c r="S133" s="12" t="s">
        <v>796</v>
      </c>
      <c r="T133" s="15" t="s">
        <v>648</v>
      </c>
    </row>
    <row r="134" customFormat="false" ht="35.05" hidden="false" customHeight="false" outlineLevel="0" collapsed="false">
      <c r="A134" s="12" t="s">
        <v>782</v>
      </c>
      <c r="B134" s="12" t="s">
        <v>797</v>
      </c>
      <c r="C134" s="13" t="s">
        <v>303</v>
      </c>
      <c r="D134" s="12"/>
      <c r="E134" s="12" t="s">
        <v>798</v>
      </c>
      <c r="F134" s="13" t="s">
        <v>321</v>
      </c>
      <c r="G134" s="13"/>
      <c r="H134" s="13"/>
      <c r="I134" s="13"/>
      <c r="J134" s="12"/>
      <c r="K134" s="12"/>
      <c r="L134" s="12"/>
      <c r="M134" s="12" t="s">
        <v>499</v>
      </c>
      <c r="N134" s="12" t="s">
        <v>799</v>
      </c>
      <c r="O134" s="14" t="s">
        <v>106</v>
      </c>
      <c r="P134" s="12" t="s">
        <v>800</v>
      </c>
      <c r="Q134" s="12" t="s">
        <v>801</v>
      </c>
      <c r="R134" s="13" t="s">
        <v>168</v>
      </c>
      <c r="S134" s="12" t="s">
        <v>802</v>
      </c>
      <c r="T134" s="15" t="s">
        <v>803</v>
      </c>
    </row>
    <row r="135" customFormat="false" ht="23.85" hidden="false" customHeight="false" outlineLevel="0" collapsed="false">
      <c r="A135" s="12" t="s">
        <v>782</v>
      </c>
      <c r="B135" s="12" t="s">
        <v>804</v>
      </c>
      <c r="C135" s="13" t="s">
        <v>95</v>
      </c>
      <c r="D135" s="12"/>
      <c r="E135" s="12" t="s">
        <v>805</v>
      </c>
      <c r="F135" s="13" t="s">
        <v>327</v>
      </c>
      <c r="G135" s="13" t="s">
        <v>99</v>
      </c>
      <c r="H135" s="13"/>
      <c r="I135" s="13"/>
      <c r="J135" s="12" t="s">
        <v>390</v>
      </c>
      <c r="K135" s="12"/>
      <c r="L135" s="12"/>
      <c r="M135" s="12" t="s">
        <v>244</v>
      </c>
      <c r="N135" s="12" t="s">
        <v>244</v>
      </c>
      <c r="O135" s="13" t="s">
        <v>307</v>
      </c>
      <c r="P135" s="12"/>
      <c r="Q135" s="12" t="s">
        <v>806</v>
      </c>
      <c r="R135" s="13" t="s">
        <v>260</v>
      </c>
      <c r="S135" s="12" t="s">
        <v>330</v>
      </c>
      <c r="T135" s="12" t="s">
        <v>331</v>
      </c>
    </row>
    <row r="136" customFormat="false" ht="35.05" hidden="false" customHeight="false" outlineLevel="0" collapsed="false">
      <c r="A136" s="12" t="s">
        <v>782</v>
      </c>
      <c r="B136" s="12" t="s">
        <v>807</v>
      </c>
      <c r="C136" s="13" t="s">
        <v>303</v>
      </c>
      <c r="D136" s="12"/>
      <c r="E136" s="12" t="s">
        <v>808</v>
      </c>
      <c r="F136" s="13" t="s">
        <v>561</v>
      </c>
      <c r="G136" s="13"/>
      <c r="H136" s="13"/>
      <c r="I136" s="13"/>
      <c r="J136" s="12"/>
      <c r="K136" s="12"/>
      <c r="L136" s="12"/>
      <c r="M136" s="12" t="s">
        <v>593</v>
      </c>
      <c r="N136" s="12" t="s">
        <v>573</v>
      </c>
      <c r="O136" s="16" t="s">
        <v>95</v>
      </c>
      <c r="P136" s="12" t="s">
        <v>809</v>
      </c>
      <c r="Q136" s="12" t="s">
        <v>810</v>
      </c>
      <c r="R136" s="13" t="s">
        <v>109</v>
      </c>
      <c r="S136" s="12" t="s">
        <v>811</v>
      </c>
      <c r="T136" s="15" t="s">
        <v>803</v>
      </c>
    </row>
    <row r="137" customFormat="false" ht="23.85" hidden="false" customHeight="false" outlineLevel="0" collapsed="false">
      <c r="A137" s="12" t="s">
        <v>782</v>
      </c>
      <c r="B137" s="12" t="s">
        <v>812</v>
      </c>
      <c r="C137" s="13" t="s">
        <v>303</v>
      </c>
      <c r="D137" s="12"/>
      <c r="E137" s="12" t="s">
        <v>813</v>
      </c>
      <c r="F137" s="13" t="s">
        <v>321</v>
      </c>
      <c r="G137" s="13"/>
      <c r="H137" s="13"/>
      <c r="I137" s="13"/>
      <c r="J137" s="12"/>
      <c r="K137" s="12"/>
      <c r="L137" s="12"/>
      <c r="M137" s="12" t="s">
        <v>499</v>
      </c>
      <c r="N137" s="12" t="s">
        <v>814</v>
      </c>
      <c r="O137" s="14" t="s">
        <v>106</v>
      </c>
      <c r="P137" s="12" t="s">
        <v>815</v>
      </c>
      <c r="Q137" s="12" t="s">
        <v>816</v>
      </c>
      <c r="R137" s="13" t="s">
        <v>168</v>
      </c>
      <c r="S137" s="12" t="s">
        <v>811</v>
      </c>
      <c r="T137" s="15" t="s">
        <v>803</v>
      </c>
    </row>
    <row r="138" customFormat="false" ht="23.85" hidden="false" customHeight="false" outlineLevel="0" collapsed="false">
      <c r="A138" s="12" t="s">
        <v>782</v>
      </c>
      <c r="B138" s="12" t="s">
        <v>817</v>
      </c>
      <c r="C138" s="13" t="s">
        <v>303</v>
      </c>
      <c r="D138" s="12"/>
      <c r="E138" s="12" t="s">
        <v>818</v>
      </c>
      <c r="F138" s="13" t="s">
        <v>321</v>
      </c>
      <c r="G138" s="13"/>
      <c r="H138" s="13"/>
      <c r="I138" s="13"/>
      <c r="J138" s="12"/>
      <c r="K138" s="12"/>
      <c r="L138" s="12"/>
      <c r="M138" s="12" t="s">
        <v>674</v>
      </c>
      <c r="N138" s="12" t="s">
        <v>819</v>
      </c>
      <c r="O138" s="14" t="s">
        <v>106</v>
      </c>
      <c r="P138" s="12" t="s">
        <v>820</v>
      </c>
      <c r="Q138" s="12" t="s">
        <v>821</v>
      </c>
      <c r="R138" s="13" t="s">
        <v>168</v>
      </c>
      <c r="S138" s="12" t="s">
        <v>811</v>
      </c>
      <c r="T138" s="15" t="s">
        <v>803</v>
      </c>
    </row>
    <row r="139" customFormat="false" ht="23.85" hidden="false" customHeight="false" outlineLevel="0" collapsed="false">
      <c r="A139" s="12" t="s">
        <v>782</v>
      </c>
      <c r="B139" s="12" t="s">
        <v>822</v>
      </c>
      <c r="C139" s="13" t="s">
        <v>303</v>
      </c>
      <c r="D139" s="12"/>
      <c r="E139" s="12" t="s">
        <v>823</v>
      </c>
      <c r="F139" s="13" t="s">
        <v>321</v>
      </c>
      <c r="G139" s="13"/>
      <c r="H139" s="13"/>
      <c r="I139" s="13"/>
      <c r="J139" s="12"/>
      <c r="K139" s="12"/>
      <c r="L139" s="12"/>
      <c r="M139" s="12" t="s">
        <v>824</v>
      </c>
      <c r="N139" s="12" t="s">
        <v>824</v>
      </c>
      <c r="O139" s="14" t="s">
        <v>106</v>
      </c>
      <c r="P139" s="12" t="s">
        <v>825</v>
      </c>
      <c r="Q139" s="12" t="s">
        <v>826</v>
      </c>
      <c r="R139" s="13" t="s">
        <v>168</v>
      </c>
      <c r="S139" s="12" t="s">
        <v>811</v>
      </c>
      <c r="T139" s="15" t="s">
        <v>803</v>
      </c>
    </row>
    <row r="140" customFormat="false" ht="23.85" hidden="false" customHeight="false" outlineLevel="0" collapsed="false">
      <c r="A140" s="12" t="s">
        <v>782</v>
      </c>
      <c r="B140" s="12" t="s">
        <v>827</v>
      </c>
      <c r="C140" s="13" t="s">
        <v>303</v>
      </c>
      <c r="D140" s="12"/>
      <c r="E140" s="12" t="s">
        <v>828</v>
      </c>
      <c r="F140" s="13" t="s">
        <v>561</v>
      </c>
      <c r="G140" s="13"/>
      <c r="H140" s="13"/>
      <c r="I140" s="13"/>
      <c r="J140" s="12"/>
      <c r="K140" s="12"/>
      <c r="L140" s="12"/>
      <c r="M140" s="12" t="s">
        <v>593</v>
      </c>
      <c r="N140" s="12" t="s">
        <v>573</v>
      </c>
      <c r="O140" s="16" t="s">
        <v>95</v>
      </c>
      <c r="P140" s="12" t="s">
        <v>829</v>
      </c>
      <c r="Q140" s="12" t="s">
        <v>830</v>
      </c>
      <c r="R140" s="13" t="s">
        <v>168</v>
      </c>
      <c r="S140" s="12" t="s">
        <v>811</v>
      </c>
      <c r="T140" s="15" t="s">
        <v>803</v>
      </c>
    </row>
    <row r="141" customFormat="false" ht="23.85" hidden="false" customHeight="false" outlineLevel="0" collapsed="false">
      <c r="A141" s="12" t="s">
        <v>782</v>
      </c>
      <c r="B141" s="12" t="s">
        <v>831</v>
      </c>
      <c r="C141" s="13" t="s">
        <v>303</v>
      </c>
      <c r="D141" s="12"/>
      <c r="E141" s="12" t="s">
        <v>832</v>
      </c>
      <c r="F141" s="13" t="s">
        <v>321</v>
      </c>
      <c r="G141" s="13"/>
      <c r="H141" s="13"/>
      <c r="I141" s="13"/>
      <c r="J141" s="12"/>
      <c r="K141" s="12"/>
      <c r="L141" s="12"/>
      <c r="M141" s="12" t="s">
        <v>593</v>
      </c>
      <c r="N141" s="12" t="s">
        <v>573</v>
      </c>
      <c r="O141" s="14" t="s">
        <v>106</v>
      </c>
      <c r="P141" s="12"/>
      <c r="Q141" s="12" t="s">
        <v>833</v>
      </c>
      <c r="R141" s="13" t="s">
        <v>168</v>
      </c>
      <c r="S141" s="12" t="s">
        <v>811</v>
      </c>
      <c r="T141" s="15" t="s">
        <v>803</v>
      </c>
    </row>
    <row r="142" customFormat="false" ht="26.85" hidden="false" customHeight="false" outlineLevel="0" collapsed="false">
      <c r="A142" s="11" t="s">
        <v>834</v>
      </c>
      <c r="B142" s="11"/>
      <c r="C142" s="11"/>
      <c r="D142" s="11"/>
      <c r="E142" s="11"/>
      <c r="F142" s="11"/>
      <c r="G142" s="11"/>
      <c r="H142" s="11"/>
      <c r="I142" s="11"/>
      <c r="J142" s="11"/>
      <c r="K142" s="11"/>
      <c r="L142" s="11"/>
      <c r="M142" s="11"/>
      <c r="N142" s="11"/>
      <c r="O142" s="11"/>
      <c r="P142" s="11"/>
      <c r="Q142" s="11"/>
      <c r="R142" s="11"/>
      <c r="S142" s="11"/>
      <c r="T142" s="11"/>
    </row>
    <row r="143" customFormat="false" ht="23.85" hidden="false" customHeight="false" outlineLevel="0" collapsed="false">
      <c r="A143" s="12" t="s">
        <v>834</v>
      </c>
      <c r="B143" s="12" t="s">
        <v>835</v>
      </c>
      <c r="C143" s="13" t="s">
        <v>95</v>
      </c>
      <c r="D143" s="12"/>
      <c r="E143" s="12" t="s">
        <v>836</v>
      </c>
      <c r="F143" s="13" t="s">
        <v>81</v>
      </c>
      <c r="G143" s="13" t="s">
        <v>98</v>
      </c>
      <c r="H143" s="13"/>
      <c r="I143" s="13" t="s">
        <v>100</v>
      </c>
      <c r="J143" s="12" t="s">
        <v>837</v>
      </c>
      <c r="K143" s="12"/>
      <c r="L143" s="12"/>
      <c r="M143" s="12" t="s">
        <v>177</v>
      </c>
      <c r="N143" s="12" t="s">
        <v>838</v>
      </c>
      <c r="O143" s="14" t="s">
        <v>106</v>
      </c>
      <c r="P143" s="12" t="s">
        <v>839</v>
      </c>
      <c r="Q143" s="12" t="s">
        <v>840</v>
      </c>
      <c r="R143" s="13" t="s">
        <v>168</v>
      </c>
      <c r="S143" s="12" t="s">
        <v>841</v>
      </c>
      <c r="T143" s="15" t="s">
        <v>170</v>
      </c>
    </row>
    <row r="144" customFormat="false" ht="35.05" hidden="false" customHeight="false" outlineLevel="0" collapsed="false">
      <c r="A144" s="12" t="s">
        <v>834</v>
      </c>
      <c r="B144" s="12" t="s">
        <v>842</v>
      </c>
      <c r="C144" s="13" t="s">
        <v>95</v>
      </c>
      <c r="D144" s="12"/>
      <c r="E144" s="12" t="s">
        <v>843</v>
      </c>
      <c r="F144" s="13" t="s">
        <v>83</v>
      </c>
      <c r="G144" s="13"/>
      <c r="H144" s="13" t="s">
        <v>100</v>
      </c>
      <c r="I144" s="13" t="s">
        <v>98</v>
      </c>
      <c r="J144" s="12"/>
      <c r="K144" s="12"/>
      <c r="L144" s="12" t="s">
        <v>844</v>
      </c>
      <c r="M144" s="12" t="s">
        <v>760</v>
      </c>
      <c r="N144" s="12" t="s">
        <v>457</v>
      </c>
      <c r="O144" s="14" t="s">
        <v>106</v>
      </c>
      <c r="P144" s="12" t="s">
        <v>845</v>
      </c>
      <c r="Q144" s="12" t="s">
        <v>846</v>
      </c>
      <c r="R144" s="13" t="s">
        <v>168</v>
      </c>
      <c r="S144" s="12" t="s">
        <v>847</v>
      </c>
      <c r="T144" s="15" t="s">
        <v>848</v>
      </c>
    </row>
    <row r="145" customFormat="false" ht="23.85" hidden="false" customHeight="false" outlineLevel="0" collapsed="false">
      <c r="A145" s="12" t="s">
        <v>834</v>
      </c>
      <c r="B145" s="12" t="s">
        <v>849</v>
      </c>
      <c r="C145" s="13" t="s">
        <v>303</v>
      </c>
      <c r="D145" s="12"/>
      <c r="E145" s="12" t="s">
        <v>850</v>
      </c>
      <c r="F145" s="13" t="s">
        <v>83</v>
      </c>
      <c r="G145" s="13" t="s">
        <v>100</v>
      </c>
      <c r="H145" s="13" t="s">
        <v>100</v>
      </c>
      <c r="I145" s="13" t="s">
        <v>98</v>
      </c>
      <c r="J145" s="12"/>
      <c r="K145" s="12"/>
      <c r="L145" s="12"/>
      <c r="M145" s="12" t="s">
        <v>674</v>
      </c>
      <c r="N145" s="12" t="s">
        <v>851</v>
      </c>
      <c r="O145" s="14" t="s">
        <v>106</v>
      </c>
      <c r="P145" s="12" t="s">
        <v>852</v>
      </c>
      <c r="Q145" s="12" t="s">
        <v>853</v>
      </c>
      <c r="R145" s="13" t="s">
        <v>168</v>
      </c>
      <c r="S145" s="12" t="s">
        <v>854</v>
      </c>
      <c r="T145" s="15" t="s">
        <v>855</v>
      </c>
    </row>
    <row r="146" customFormat="false" ht="23.85" hidden="false" customHeight="false" outlineLevel="0" collapsed="false">
      <c r="A146" s="12" t="s">
        <v>834</v>
      </c>
      <c r="B146" s="12" t="s">
        <v>856</v>
      </c>
      <c r="C146" s="13" t="s">
        <v>303</v>
      </c>
      <c r="D146" s="12"/>
      <c r="E146" s="12" t="s">
        <v>857</v>
      </c>
      <c r="F146" s="13" t="s">
        <v>83</v>
      </c>
      <c r="G146" s="13"/>
      <c r="H146" s="13"/>
      <c r="I146" s="13" t="s">
        <v>98</v>
      </c>
      <c r="J146" s="12"/>
      <c r="K146" s="12"/>
      <c r="L146" s="12"/>
      <c r="M146" s="12" t="s">
        <v>492</v>
      </c>
      <c r="N146" s="12" t="s">
        <v>858</v>
      </c>
      <c r="O146" s="14" t="s">
        <v>106</v>
      </c>
      <c r="P146" s="12" t="s">
        <v>859</v>
      </c>
      <c r="Q146" s="12" t="s">
        <v>860</v>
      </c>
      <c r="R146" s="13" t="s">
        <v>168</v>
      </c>
      <c r="S146" s="12" t="s">
        <v>861</v>
      </c>
      <c r="T146" s="15" t="s">
        <v>855</v>
      </c>
    </row>
    <row r="147" customFormat="false" ht="23.85" hidden="false" customHeight="false" outlineLevel="0" collapsed="false">
      <c r="A147" s="12" t="s">
        <v>834</v>
      </c>
      <c r="B147" s="12" t="s">
        <v>862</v>
      </c>
      <c r="C147" s="13" t="s">
        <v>303</v>
      </c>
      <c r="D147" s="12"/>
      <c r="E147" s="12" t="s">
        <v>850</v>
      </c>
      <c r="F147" s="13" t="s">
        <v>83</v>
      </c>
      <c r="G147" s="13"/>
      <c r="H147" s="13"/>
      <c r="I147" s="13" t="s">
        <v>98</v>
      </c>
      <c r="J147" s="12"/>
      <c r="K147" s="12"/>
      <c r="L147" s="12"/>
      <c r="M147" s="12" t="s">
        <v>457</v>
      </c>
      <c r="N147" s="12" t="s">
        <v>631</v>
      </c>
      <c r="O147" s="14" t="s">
        <v>106</v>
      </c>
      <c r="P147" s="12" t="s">
        <v>863</v>
      </c>
      <c r="Q147" s="12" t="s">
        <v>864</v>
      </c>
      <c r="R147" s="13" t="s">
        <v>168</v>
      </c>
      <c r="S147" s="12" t="s">
        <v>865</v>
      </c>
      <c r="T147" s="15" t="s">
        <v>855</v>
      </c>
    </row>
    <row r="148" customFormat="false" ht="23.85" hidden="false" customHeight="false" outlineLevel="0" collapsed="false">
      <c r="A148" s="12" t="s">
        <v>834</v>
      </c>
      <c r="B148" s="12" t="s">
        <v>866</v>
      </c>
      <c r="C148" s="13" t="s">
        <v>303</v>
      </c>
      <c r="D148" s="12"/>
      <c r="E148" s="12" t="s">
        <v>867</v>
      </c>
      <c r="F148" s="13" t="s">
        <v>327</v>
      </c>
      <c r="G148" s="13" t="s">
        <v>99</v>
      </c>
      <c r="H148" s="13"/>
      <c r="I148" s="13" t="s">
        <v>99</v>
      </c>
      <c r="J148" s="12"/>
      <c r="K148" s="12"/>
      <c r="L148" s="12"/>
      <c r="M148" s="12" t="s">
        <v>164</v>
      </c>
      <c r="N148" s="12" t="s">
        <v>499</v>
      </c>
      <c r="O148" s="14" t="s">
        <v>106</v>
      </c>
      <c r="P148" s="12" t="s">
        <v>868</v>
      </c>
      <c r="Q148" s="12" t="s">
        <v>869</v>
      </c>
      <c r="R148" s="13" t="s">
        <v>168</v>
      </c>
      <c r="S148" s="12" t="s">
        <v>870</v>
      </c>
      <c r="T148" s="15" t="s">
        <v>855</v>
      </c>
    </row>
    <row r="149" customFormat="false" ht="23.85" hidden="false" customHeight="false" outlineLevel="0" collapsed="false">
      <c r="A149" s="12" t="s">
        <v>834</v>
      </c>
      <c r="B149" s="12" t="s">
        <v>871</v>
      </c>
      <c r="C149" s="13" t="s">
        <v>303</v>
      </c>
      <c r="D149" s="12"/>
      <c r="E149" s="12" t="s">
        <v>872</v>
      </c>
      <c r="F149" s="13" t="s">
        <v>83</v>
      </c>
      <c r="G149" s="13"/>
      <c r="H149" s="13"/>
      <c r="I149" s="13" t="s">
        <v>98</v>
      </c>
      <c r="J149" s="12"/>
      <c r="K149" s="12"/>
      <c r="L149" s="12"/>
      <c r="M149" s="12" t="s">
        <v>492</v>
      </c>
      <c r="N149" s="12" t="s">
        <v>873</v>
      </c>
      <c r="O149" s="14" t="s">
        <v>106</v>
      </c>
      <c r="P149" s="12" t="s">
        <v>868</v>
      </c>
      <c r="Q149" s="12" t="s">
        <v>860</v>
      </c>
      <c r="R149" s="13" t="s">
        <v>168</v>
      </c>
      <c r="S149" s="12" t="s">
        <v>870</v>
      </c>
      <c r="T149" s="15" t="s">
        <v>855</v>
      </c>
    </row>
    <row r="150" customFormat="false" ht="23.85" hidden="false" customHeight="false" outlineLevel="0" collapsed="false">
      <c r="A150" s="12" t="s">
        <v>834</v>
      </c>
      <c r="B150" s="12" t="s">
        <v>874</v>
      </c>
      <c r="C150" s="13" t="s">
        <v>303</v>
      </c>
      <c r="D150" s="12"/>
      <c r="E150" s="12" t="s">
        <v>875</v>
      </c>
      <c r="F150" s="13" t="s">
        <v>321</v>
      </c>
      <c r="G150" s="13"/>
      <c r="H150" s="13"/>
      <c r="I150" s="13"/>
      <c r="J150" s="12"/>
      <c r="K150" s="12"/>
      <c r="L150" s="12"/>
      <c r="M150" s="12" t="s">
        <v>177</v>
      </c>
      <c r="N150" s="12" t="s">
        <v>164</v>
      </c>
      <c r="O150" s="14" t="s">
        <v>106</v>
      </c>
      <c r="P150" s="12"/>
      <c r="Q150" s="12"/>
      <c r="R150" s="13" t="s">
        <v>168</v>
      </c>
      <c r="S150" s="12" t="s">
        <v>876</v>
      </c>
      <c r="T150" s="15" t="s">
        <v>848</v>
      </c>
    </row>
    <row r="151" customFormat="false" ht="23.85" hidden="false" customHeight="false" outlineLevel="0" collapsed="false">
      <c r="A151" s="12" t="s">
        <v>834</v>
      </c>
      <c r="B151" s="12" t="s">
        <v>877</v>
      </c>
      <c r="C151" s="13" t="s">
        <v>303</v>
      </c>
      <c r="D151" s="12" t="s">
        <v>878</v>
      </c>
      <c r="E151" s="12" t="s">
        <v>879</v>
      </c>
      <c r="F151" s="13" t="s">
        <v>81</v>
      </c>
      <c r="G151" s="13" t="s">
        <v>98</v>
      </c>
      <c r="H151" s="13" t="s">
        <v>99</v>
      </c>
      <c r="I151" s="13"/>
      <c r="J151" s="12"/>
      <c r="K151" s="12"/>
      <c r="L151" s="12"/>
      <c r="M151" s="12" t="s">
        <v>177</v>
      </c>
      <c r="N151" s="12" t="s">
        <v>457</v>
      </c>
      <c r="O151" s="14" t="s">
        <v>106</v>
      </c>
      <c r="P151" s="12" t="s">
        <v>880</v>
      </c>
      <c r="Q151" s="12" t="s">
        <v>881</v>
      </c>
      <c r="R151" s="13" t="s">
        <v>168</v>
      </c>
      <c r="S151" s="12" t="s">
        <v>882</v>
      </c>
      <c r="T151" s="15" t="s">
        <v>848</v>
      </c>
    </row>
    <row r="152" customFormat="false" ht="23.85" hidden="false" customHeight="false" outlineLevel="0" collapsed="false">
      <c r="A152" s="12" t="s">
        <v>834</v>
      </c>
      <c r="B152" s="12" t="s">
        <v>883</v>
      </c>
      <c r="C152" s="13" t="s">
        <v>303</v>
      </c>
      <c r="D152" s="12"/>
      <c r="E152" s="12" t="s">
        <v>884</v>
      </c>
      <c r="F152" s="13" t="s">
        <v>83</v>
      </c>
      <c r="G152" s="13"/>
      <c r="H152" s="13"/>
      <c r="I152" s="13" t="s">
        <v>98</v>
      </c>
      <c r="J152" s="12"/>
      <c r="K152" s="12"/>
      <c r="L152" s="12"/>
      <c r="M152" s="12" t="s">
        <v>244</v>
      </c>
      <c r="N152" s="12" t="s">
        <v>885</v>
      </c>
      <c r="O152" s="13" t="s">
        <v>244</v>
      </c>
      <c r="P152" s="12"/>
      <c r="Q152" s="12" t="s">
        <v>886</v>
      </c>
      <c r="R152" s="13" t="s">
        <v>168</v>
      </c>
      <c r="S152" s="12" t="s">
        <v>887</v>
      </c>
      <c r="T152" s="15" t="s">
        <v>855</v>
      </c>
    </row>
    <row r="153" customFormat="false" ht="23.85" hidden="false" customHeight="false" outlineLevel="0" collapsed="false">
      <c r="A153" s="12" t="s">
        <v>834</v>
      </c>
      <c r="B153" s="12" t="s">
        <v>888</v>
      </c>
      <c r="C153" s="13" t="s">
        <v>303</v>
      </c>
      <c r="D153" s="12"/>
      <c r="E153" s="12" t="s">
        <v>889</v>
      </c>
      <c r="F153" s="13" t="s">
        <v>327</v>
      </c>
      <c r="G153" s="13" t="s">
        <v>99</v>
      </c>
      <c r="H153" s="13"/>
      <c r="I153" s="13" t="s">
        <v>99</v>
      </c>
      <c r="J153" s="12"/>
      <c r="K153" s="12"/>
      <c r="L153" s="12"/>
      <c r="M153" s="12" t="s">
        <v>164</v>
      </c>
      <c r="N153" s="12" t="s">
        <v>368</v>
      </c>
      <c r="O153" s="14" t="s">
        <v>106</v>
      </c>
      <c r="P153" s="12" t="s">
        <v>868</v>
      </c>
      <c r="Q153" s="12" t="s">
        <v>869</v>
      </c>
      <c r="R153" s="13" t="s">
        <v>260</v>
      </c>
      <c r="S153" s="12" t="s">
        <v>890</v>
      </c>
      <c r="T153" s="15" t="s">
        <v>855</v>
      </c>
    </row>
    <row r="154" customFormat="false" ht="23.85" hidden="false" customHeight="false" outlineLevel="0" collapsed="false">
      <c r="A154" s="12" t="s">
        <v>834</v>
      </c>
      <c r="B154" s="12" t="s">
        <v>891</v>
      </c>
      <c r="C154" s="13" t="s">
        <v>303</v>
      </c>
      <c r="D154" s="12" t="s">
        <v>892</v>
      </c>
      <c r="E154" s="12" t="s">
        <v>893</v>
      </c>
      <c r="F154" s="13" t="s">
        <v>81</v>
      </c>
      <c r="G154" s="13" t="s">
        <v>98</v>
      </c>
      <c r="H154" s="13"/>
      <c r="I154" s="13"/>
      <c r="J154" s="12"/>
      <c r="K154" s="12"/>
      <c r="L154" s="12"/>
      <c r="M154" s="12" t="s">
        <v>177</v>
      </c>
      <c r="N154" s="12" t="s">
        <v>894</v>
      </c>
      <c r="O154" s="14" t="s">
        <v>106</v>
      </c>
      <c r="P154" s="12"/>
      <c r="Q154" s="12"/>
      <c r="R154" s="13" t="s">
        <v>260</v>
      </c>
      <c r="S154" s="12" t="s">
        <v>895</v>
      </c>
      <c r="T154" s="15" t="s">
        <v>896</v>
      </c>
    </row>
    <row r="155" customFormat="false" ht="39.55" hidden="false" customHeight="false" outlineLevel="0" collapsed="false">
      <c r="A155" s="11" t="s">
        <v>897</v>
      </c>
      <c r="B155" s="11"/>
      <c r="C155" s="11"/>
      <c r="D155" s="11"/>
      <c r="E155" s="11"/>
      <c r="F155" s="11"/>
      <c r="G155" s="11"/>
      <c r="H155" s="11"/>
      <c r="I155" s="11"/>
      <c r="J155" s="11"/>
      <c r="K155" s="11"/>
      <c r="L155" s="11"/>
      <c r="M155" s="11"/>
      <c r="N155" s="11"/>
      <c r="O155" s="11"/>
      <c r="P155" s="11"/>
      <c r="Q155" s="11"/>
      <c r="R155" s="11"/>
      <c r="S155" s="11"/>
      <c r="T155" s="11"/>
    </row>
    <row r="156" customFormat="false" ht="23.85" hidden="false" customHeight="false" outlineLevel="0" collapsed="false">
      <c r="A156" s="12" t="s">
        <v>897</v>
      </c>
      <c r="B156" s="12" t="s">
        <v>898</v>
      </c>
      <c r="C156" s="13" t="s">
        <v>95</v>
      </c>
      <c r="D156" s="12"/>
      <c r="E156" s="12" t="s">
        <v>899</v>
      </c>
      <c r="F156" s="13" t="s">
        <v>327</v>
      </c>
      <c r="G156" s="13" t="s">
        <v>99</v>
      </c>
      <c r="H156" s="13" t="s">
        <v>99</v>
      </c>
      <c r="I156" s="13" t="s">
        <v>99</v>
      </c>
      <c r="J156" s="12" t="s">
        <v>900</v>
      </c>
      <c r="K156" s="12" t="s">
        <v>498</v>
      </c>
      <c r="L156" s="12" t="s">
        <v>901</v>
      </c>
      <c r="M156" s="12" t="s">
        <v>631</v>
      </c>
      <c r="N156" s="12" t="s">
        <v>550</v>
      </c>
      <c r="O156" s="14" t="s">
        <v>106</v>
      </c>
      <c r="P156" s="12" t="s">
        <v>902</v>
      </c>
      <c r="Q156" s="12" t="s">
        <v>903</v>
      </c>
      <c r="R156" s="13" t="s">
        <v>168</v>
      </c>
      <c r="S156" s="12" t="s">
        <v>904</v>
      </c>
      <c r="T156" s="15" t="s">
        <v>905</v>
      </c>
    </row>
    <row r="157" customFormat="false" ht="23.85" hidden="false" customHeight="false" outlineLevel="0" collapsed="false">
      <c r="A157" s="12" t="s">
        <v>897</v>
      </c>
      <c r="B157" s="12" t="s">
        <v>906</v>
      </c>
      <c r="C157" s="13" t="s">
        <v>303</v>
      </c>
      <c r="D157" s="12"/>
      <c r="E157" s="12" t="s">
        <v>907</v>
      </c>
      <c r="F157" s="13" t="s">
        <v>321</v>
      </c>
      <c r="G157" s="13"/>
      <c r="H157" s="13"/>
      <c r="I157" s="13"/>
      <c r="J157" s="12"/>
      <c r="K157" s="12"/>
      <c r="L157" s="12"/>
      <c r="M157" s="12" t="s">
        <v>674</v>
      </c>
      <c r="N157" s="12" t="s">
        <v>908</v>
      </c>
      <c r="O157" s="14" t="s">
        <v>106</v>
      </c>
      <c r="P157" s="12" t="s">
        <v>909</v>
      </c>
      <c r="Q157" s="12"/>
      <c r="R157" s="13" t="s">
        <v>168</v>
      </c>
      <c r="S157" s="12" t="s">
        <v>910</v>
      </c>
      <c r="T157" s="15" t="s">
        <v>896</v>
      </c>
    </row>
    <row r="158" customFormat="false" ht="23.85" hidden="false" customHeight="false" outlineLevel="0" collapsed="false">
      <c r="A158" s="12" t="s">
        <v>897</v>
      </c>
      <c r="B158" s="12" t="s">
        <v>911</v>
      </c>
      <c r="C158" s="13" t="s">
        <v>95</v>
      </c>
      <c r="D158" s="12"/>
      <c r="E158" s="12" t="s">
        <v>912</v>
      </c>
      <c r="F158" s="13" t="s">
        <v>327</v>
      </c>
      <c r="G158" s="13" t="s">
        <v>99</v>
      </c>
      <c r="H158" s="13"/>
      <c r="I158" s="13"/>
      <c r="J158" s="12" t="s">
        <v>913</v>
      </c>
      <c r="K158" s="12"/>
      <c r="L158" s="12"/>
      <c r="M158" s="12" t="s">
        <v>244</v>
      </c>
      <c r="N158" s="12" t="s">
        <v>244</v>
      </c>
      <c r="O158" s="13" t="s">
        <v>244</v>
      </c>
      <c r="P158" s="12"/>
      <c r="Q158" s="12" t="s">
        <v>914</v>
      </c>
      <c r="R158" s="13" t="s">
        <v>168</v>
      </c>
      <c r="S158" s="12" t="s">
        <v>336</v>
      </c>
      <c r="T158" s="12" t="s">
        <v>331</v>
      </c>
    </row>
    <row r="159" customFormat="false" ht="23.85" hidden="false" customHeight="false" outlineLevel="0" collapsed="false">
      <c r="A159" s="12" t="s">
        <v>897</v>
      </c>
      <c r="B159" s="12" t="s">
        <v>915</v>
      </c>
      <c r="C159" s="13" t="s">
        <v>303</v>
      </c>
      <c r="D159" s="12"/>
      <c r="E159" s="12" t="s">
        <v>916</v>
      </c>
      <c r="F159" s="13" t="s">
        <v>561</v>
      </c>
      <c r="G159" s="13"/>
      <c r="H159" s="13"/>
      <c r="I159" s="13"/>
      <c r="J159" s="12"/>
      <c r="K159" s="12"/>
      <c r="L159" s="12"/>
      <c r="M159" s="12" t="s">
        <v>567</v>
      </c>
      <c r="N159" s="12" t="s">
        <v>917</v>
      </c>
      <c r="O159" s="16" t="s">
        <v>95</v>
      </c>
      <c r="P159" s="12" t="s">
        <v>918</v>
      </c>
      <c r="Q159" s="12" t="s">
        <v>919</v>
      </c>
      <c r="R159" s="13" t="s">
        <v>168</v>
      </c>
      <c r="S159" s="12" t="s">
        <v>920</v>
      </c>
      <c r="T159" s="15" t="s">
        <v>905</v>
      </c>
    </row>
    <row r="160" customFormat="false" ht="23.85" hidden="false" customHeight="false" outlineLevel="0" collapsed="false">
      <c r="A160" s="12" t="s">
        <v>897</v>
      </c>
      <c r="B160" s="12" t="s">
        <v>921</v>
      </c>
      <c r="C160" s="13" t="s">
        <v>303</v>
      </c>
      <c r="D160" s="12"/>
      <c r="E160" s="12" t="s">
        <v>922</v>
      </c>
      <c r="F160" s="13" t="s">
        <v>561</v>
      </c>
      <c r="G160" s="13"/>
      <c r="H160" s="13"/>
      <c r="I160" s="13"/>
      <c r="J160" s="12"/>
      <c r="K160" s="12"/>
      <c r="L160" s="12"/>
      <c r="M160" s="12" t="s">
        <v>567</v>
      </c>
      <c r="N160" s="12" t="s">
        <v>923</v>
      </c>
      <c r="O160" s="16" t="s">
        <v>95</v>
      </c>
      <c r="P160" s="12"/>
      <c r="Q160" s="12" t="s">
        <v>924</v>
      </c>
      <c r="R160" s="13" t="s">
        <v>168</v>
      </c>
      <c r="S160" s="12" t="s">
        <v>920</v>
      </c>
      <c r="T160" s="15" t="s">
        <v>905</v>
      </c>
    </row>
    <row r="161" customFormat="false" ht="23.85" hidden="false" customHeight="false" outlineLevel="0" collapsed="false">
      <c r="A161" s="12" t="s">
        <v>897</v>
      </c>
      <c r="B161" s="12" t="s">
        <v>925</v>
      </c>
      <c r="C161" s="13" t="s">
        <v>303</v>
      </c>
      <c r="D161" s="12"/>
      <c r="E161" s="12" t="s">
        <v>926</v>
      </c>
      <c r="F161" s="13" t="s">
        <v>561</v>
      </c>
      <c r="G161" s="13"/>
      <c r="H161" s="13"/>
      <c r="I161" s="13"/>
      <c r="J161" s="12"/>
      <c r="K161" s="12"/>
      <c r="L161" s="12"/>
      <c r="M161" s="12" t="s">
        <v>567</v>
      </c>
      <c r="N161" s="12" t="s">
        <v>927</v>
      </c>
      <c r="O161" s="16" t="s">
        <v>95</v>
      </c>
      <c r="P161" s="12" t="s">
        <v>928</v>
      </c>
      <c r="Q161" s="12" t="s">
        <v>929</v>
      </c>
      <c r="R161" s="13" t="s">
        <v>168</v>
      </c>
      <c r="S161" s="12" t="s">
        <v>920</v>
      </c>
      <c r="T161" s="15" t="s">
        <v>905</v>
      </c>
    </row>
    <row r="162" customFormat="false" ht="15" hidden="false" customHeight="false" outlineLevel="0" collapsed="false">
      <c r="A162" s="11" t="s">
        <v>930</v>
      </c>
      <c r="B162" s="11"/>
      <c r="C162" s="11"/>
      <c r="D162" s="11"/>
      <c r="E162" s="11"/>
      <c r="F162" s="11"/>
      <c r="G162" s="11"/>
      <c r="H162" s="11"/>
      <c r="I162" s="11"/>
      <c r="J162" s="11"/>
      <c r="K162" s="11"/>
      <c r="L162" s="11"/>
      <c r="M162" s="11"/>
      <c r="N162" s="11"/>
      <c r="O162" s="11"/>
      <c r="P162" s="11"/>
      <c r="Q162" s="11"/>
      <c r="R162" s="11"/>
      <c r="S162" s="11"/>
      <c r="T162" s="11"/>
    </row>
    <row r="163" customFormat="false" ht="23.85" hidden="false" customHeight="false" outlineLevel="0" collapsed="false">
      <c r="A163" s="12" t="s">
        <v>930</v>
      </c>
      <c r="B163" s="12" t="s">
        <v>931</v>
      </c>
      <c r="C163" s="13" t="s">
        <v>95</v>
      </c>
      <c r="D163" s="12" t="s">
        <v>932</v>
      </c>
      <c r="E163" s="12" t="s">
        <v>933</v>
      </c>
      <c r="F163" s="13" t="s">
        <v>149</v>
      </c>
      <c r="G163" s="13" t="s">
        <v>98</v>
      </c>
      <c r="H163" s="13" t="s">
        <v>98</v>
      </c>
      <c r="I163" s="13" t="s">
        <v>98</v>
      </c>
      <c r="J163" s="12" t="s">
        <v>934</v>
      </c>
      <c r="K163" s="12" t="s">
        <v>935</v>
      </c>
      <c r="L163" s="12" t="s">
        <v>936</v>
      </c>
      <c r="M163" s="12" t="s">
        <v>457</v>
      </c>
      <c r="N163" s="12" t="s">
        <v>937</v>
      </c>
      <c r="O163" s="14" t="s">
        <v>106</v>
      </c>
      <c r="P163" s="12" t="s">
        <v>938</v>
      </c>
      <c r="Q163" s="12" t="s">
        <v>939</v>
      </c>
      <c r="R163" s="13" t="s">
        <v>109</v>
      </c>
      <c r="S163" s="12" t="s">
        <v>940</v>
      </c>
      <c r="T163" s="15" t="s">
        <v>941</v>
      </c>
    </row>
    <row r="164" customFormat="false" ht="23.85" hidden="false" customHeight="false" outlineLevel="0" collapsed="false">
      <c r="A164" s="12" t="s">
        <v>930</v>
      </c>
      <c r="B164" s="12" t="s">
        <v>942</v>
      </c>
      <c r="C164" s="13" t="s">
        <v>95</v>
      </c>
      <c r="D164" s="12" t="s">
        <v>943</v>
      </c>
      <c r="E164" s="12" t="s">
        <v>944</v>
      </c>
      <c r="F164" s="13" t="s">
        <v>327</v>
      </c>
      <c r="G164" s="13" t="s">
        <v>99</v>
      </c>
      <c r="H164" s="13" t="s">
        <v>99</v>
      </c>
      <c r="I164" s="13" t="s">
        <v>99</v>
      </c>
      <c r="J164" s="12" t="s">
        <v>945</v>
      </c>
      <c r="K164" s="12" t="s">
        <v>946</v>
      </c>
      <c r="L164" s="12" t="s">
        <v>947</v>
      </c>
      <c r="M164" s="12" t="s">
        <v>164</v>
      </c>
      <c r="N164" s="12" t="s">
        <v>458</v>
      </c>
      <c r="O164" s="14" t="s">
        <v>106</v>
      </c>
      <c r="P164" s="12" t="s">
        <v>948</v>
      </c>
      <c r="Q164" s="12" t="s">
        <v>949</v>
      </c>
      <c r="R164" s="13" t="s">
        <v>168</v>
      </c>
      <c r="S164" s="12" t="s">
        <v>387</v>
      </c>
      <c r="T164" s="15" t="s">
        <v>170</v>
      </c>
    </row>
    <row r="165" customFormat="false" ht="23.85" hidden="false" customHeight="false" outlineLevel="0" collapsed="false">
      <c r="A165" s="12" t="s">
        <v>930</v>
      </c>
      <c r="B165" s="12" t="s">
        <v>950</v>
      </c>
      <c r="C165" s="13" t="s">
        <v>95</v>
      </c>
      <c r="D165" s="12" t="s">
        <v>951</v>
      </c>
      <c r="E165" s="12" t="s">
        <v>952</v>
      </c>
      <c r="F165" s="13" t="s">
        <v>327</v>
      </c>
      <c r="G165" s="13" t="s">
        <v>99</v>
      </c>
      <c r="H165" s="13" t="s">
        <v>99</v>
      </c>
      <c r="I165" s="13" t="s">
        <v>99</v>
      </c>
      <c r="J165" s="12"/>
      <c r="K165" s="12"/>
      <c r="L165" s="12" t="s">
        <v>270</v>
      </c>
      <c r="M165" s="12" t="s">
        <v>189</v>
      </c>
      <c r="N165" s="12" t="s">
        <v>265</v>
      </c>
      <c r="O165" s="14" t="s">
        <v>106</v>
      </c>
      <c r="P165" s="12"/>
      <c r="Q165" s="12" t="s">
        <v>953</v>
      </c>
      <c r="R165" s="13" t="s">
        <v>260</v>
      </c>
      <c r="S165" s="12" t="s">
        <v>330</v>
      </c>
      <c r="T165" s="12" t="s">
        <v>331</v>
      </c>
    </row>
    <row r="166" customFormat="false" ht="23.85" hidden="false" customHeight="false" outlineLevel="0" collapsed="false">
      <c r="A166" s="12" t="s">
        <v>930</v>
      </c>
      <c r="B166" s="12" t="s">
        <v>954</v>
      </c>
      <c r="C166" s="13" t="s">
        <v>95</v>
      </c>
      <c r="D166" s="12" t="s">
        <v>892</v>
      </c>
      <c r="E166" s="12" t="s">
        <v>955</v>
      </c>
      <c r="F166" s="13" t="s">
        <v>327</v>
      </c>
      <c r="G166" s="13" t="s">
        <v>99</v>
      </c>
      <c r="H166" s="13" t="s">
        <v>99</v>
      </c>
      <c r="I166" s="13"/>
      <c r="J166" s="12" t="s">
        <v>270</v>
      </c>
      <c r="K166" s="12" t="s">
        <v>956</v>
      </c>
      <c r="L166" s="12"/>
      <c r="M166" s="12" t="s">
        <v>164</v>
      </c>
      <c r="N166" s="12" t="s">
        <v>458</v>
      </c>
      <c r="O166" s="14" t="s">
        <v>106</v>
      </c>
      <c r="P166" s="12"/>
      <c r="Q166" s="12" t="s">
        <v>957</v>
      </c>
      <c r="R166" s="13" t="s">
        <v>168</v>
      </c>
      <c r="S166" s="12" t="s">
        <v>330</v>
      </c>
      <c r="T166" s="12" t="s">
        <v>331</v>
      </c>
    </row>
    <row r="167" customFormat="false" ht="23.85" hidden="false" customHeight="false" outlineLevel="0" collapsed="false">
      <c r="A167" s="12" t="s">
        <v>930</v>
      </c>
      <c r="B167" s="12" t="s">
        <v>958</v>
      </c>
      <c r="C167" s="13" t="s">
        <v>95</v>
      </c>
      <c r="D167" s="12" t="s">
        <v>959</v>
      </c>
      <c r="E167" s="12" t="s">
        <v>955</v>
      </c>
      <c r="F167" s="13" t="s">
        <v>327</v>
      </c>
      <c r="G167" s="13" t="s">
        <v>99</v>
      </c>
      <c r="H167" s="13"/>
      <c r="I167" s="13" t="s">
        <v>99</v>
      </c>
      <c r="J167" s="12" t="s">
        <v>270</v>
      </c>
      <c r="K167" s="12"/>
      <c r="L167" s="12" t="s">
        <v>960</v>
      </c>
      <c r="M167" s="12" t="s">
        <v>189</v>
      </c>
      <c r="N167" s="12" t="s">
        <v>265</v>
      </c>
      <c r="O167" s="14" t="s">
        <v>106</v>
      </c>
      <c r="P167" s="12"/>
      <c r="Q167" s="12" t="s">
        <v>961</v>
      </c>
      <c r="R167" s="13" t="s">
        <v>260</v>
      </c>
      <c r="S167" s="12" t="s">
        <v>330</v>
      </c>
      <c r="T167" s="12" t="s">
        <v>331</v>
      </c>
    </row>
    <row r="168" customFormat="false" ht="23.85" hidden="false" customHeight="false" outlineLevel="0" collapsed="false">
      <c r="A168" s="12" t="s">
        <v>930</v>
      </c>
      <c r="B168" s="12" t="s">
        <v>962</v>
      </c>
      <c r="C168" s="13" t="s">
        <v>95</v>
      </c>
      <c r="D168" s="12" t="s">
        <v>963</v>
      </c>
      <c r="E168" s="12" t="s">
        <v>955</v>
      </c>
      <c r="F168" s="13" t="s">
        <v>327</v>
      </c>
      <c r="G168" s="13"/>
      <c r="H168" s="13" t="s">
        <v>99</v>
      </c>
      <c r="I168" s="13"/>
      <c r="J168" s="12"/>
      <c r="K168" s="12" t="s">
        <v>270</v>
      </c>
      <c r="L168" s="12"/>
      <c r="M168" s="12" t="s">
        <v>164</v>
      </c>
      <c r="N168" s="12" t="s">
        <v>368</v>
      </c>
      <c r="O168" s="14" t="s">
        <v>106</v>
      </c>
      <c r="P168" s="12"/>
      <c r="Q168" s="12" t="s">
        <v>964</v>
      </c>
      <c r="R168" s="13" t="s">
        <v>260</v>
      </c>
      <c r="S168" s="12" t="s">
        <v>330</v>
      </c>
      <c r="T168" s="12" t="s">
        <v>331</v>
      </c>
    </row>
    <row r="169" customFormat="false" ht="23.85" hidden="false" customHeight="false" outlineLevel="0" collapsed="false">
      <c r="A169" s="12" t="s">
        <v>930</v>
      </c>
      <c r="B169" s="12" t="s">
        <v>965</v>
      </c>
      <c r="C169" s="13" t="s">
        <v>95</v>
      </c>
      <c r="D169" s="12" t="s">
        <v>966</v>
      </c>
      <c r="E169" s="12" t="s">
        <v>955</v>
      </c>
      <c r="F169" s="13" t="s">
        <v>327</v>
      </c>
      <c r="G169" s="13"/>
      <c r="H169" s="13"/>
      <c r="I169" s="13" t="s">
        <v>99</v>
      </c>
      <c r="J169" s="12"/>
      <c r="K169" s="12"/>
      <c r="L169" s="12" t="s">
        <v>270</v>
      </c>
      <c r="M169" s="12" t="s">
        <v>164</v>
      </c>
      <c r="N169" s="12" t="s">
        <v>458</v>
      </c>
      <c r="O169" s="14" t="s">
        <v>106</v>
      </c>
      <c r="P169" s="12"/>
      <c r="Q169" s="12" t="s">
        <v>953</v>
      </c>
      <c r="R169" s="13" t="s">
        <v>260</v>
      </c>
      <c r="S169" s="12" t="s">
        <v>330</v>
      </c>
      <c r="T169" s="12" t="s">
        <v>331</v>
      </c>
    </row>
    <row r="170" customFormat="false" ht="23.85" hidden="false" customHeight="false" outlineLevel="0" collapsed="false">
      <c r="A170" s="12" t="s">
        <v>930</v>
      </c>
      <c r="B170" s="12" t="s">
        <v>967</v>
      </c>
      <c r="C170" s="13" t="s">
        <v>95</v>
      </c>
      <c r="D170" s="12"/>
      <c r="E170" s="12" t="s">
        <v>968</v>
      </c>
      <c r="F170" s="13" t="s">
        <v>327</v>
      </c>
      <c r="G170" s="13"/>
      <c r="H170" s="13"/>
      <c r="I170" s="13" t="s">
        <v>99</v>
      </c>
      <c r="J170" s="12"/>
      <c r="K170" s="12"/>
      <c r="L170" s="12" t="s">
        <v>270</v>
      </c>
      <c r="M170" s="12" t="s">
        <v>457</v>
      </c>
      <c r="N170" s="12" t="s">
        <v>523</v>
      </c>
      <c r="O170" s="14" t="s">
        <v>106</v>
      </c>
      <c r="P170" s="12"/>
      <c r="Q170" s="12" t="s">
        <v>953</v>
      </c>
      <c r="R170" s="13" t="s">
        <v>260</v>
      </c>
      <c r="S170" s="12" t="s">
        <v>330</v>
      </c>
      <c r="T170" s="12" t="s">
        <v>331</v>
      </c>
    </row>
    <row r="171" customFormat="false" ht="23.85" hidden="false" customHeight="false" outlineLevel="0" collapsed="false">
      <c r="A171" s="12" t="s">
        <v>930</v>
      </c>
      <c r="B171" s="12" t="s">
        <v>969</v>
      </c>
      <c r="C171" s="13" t="s">
        <v>95</v>
      </c>
      <c r="D171" s="12"/>
      <c r="E171" s="12" t="s">
        <v>970</v>
      </c>
      <c r="F171" s="13" t="s">
        <v>327</v>
      </c>
      <c r="G171" s="13" t="s">
        <v>99</v>
      </c>
      <c r="H171" s="13" t="s">
        <v>99</v>
      </c>
      <c r="I171" s="13"/>
      <c r="J171" s="12" t="s">
        <v>270</v>
      </c>
      <c r="K171" s="12" t="s">
        <v>270</v>
      </c>
      <c r="L171" s="12"/>
      <c r="M171" s="12" t="s">
        <v>189</v>
      </c>
      <c r="N171" s="12" t="s">
        <v>971</v>
      </c>
      <c r="O171" s="14" t="s">
        <v>106</v>
      </c>
      <c r="P171" s="12"/>
      <c r="Q171" s="12" t="s">
        <v>972</v>
      </c>
      <c r="R171" s="13" t="s">
        <v>260</v>
      </c>
      <c r="S171" s="12" t="s">
        <v>330</v>
      </c>
      <c r="T171" s="12" t="s">
        <v>331</v>
      </c>
    </row>
    <row r="172" customFormat="false" ht="23.85" hidden="false" customHeight="false" outlineLevel="0" collapsed="false">
      <c r="A172" s="12" t="s">
        <v>930</v>
      </c>
      <c r="B172" s="12" t="s">
        <v>973</v>
      </c>
      <c r="C172" s="13" t="s">
        <v>95</v>
      </c>
      <c r="D172" s="12"/>
      <c r="E172" s="12" t="s">
        <v>970</v>
      </c>
      <c r="F172" s="13" t="s">
        <v>327</v>
      </c>
      <c r="G172" s="13"/>
      <c r="H172" s="13" t="s">
        <v>99</v>
      </c>
      <c r="I172" s="13"/>
      <c r="J172" s="12"/>
      <c r="K172" s="12" t="s">
        <v>417</v>
      </c>
      <c r="L172" s="12"/>
      <c r="M172" s="12" t="s">
        <v>189</v>
      </c>
      <c r="N172" s="12" t="s">
        <v>971</v>
      </c>
      <c r="O172" s="14" t="s">
        <v>106</v>
      </c>
      <c r="P172" s="12"/>
      <c r="Q172" s="12" t="s">
        <v>974</v>
      </c>
      <c r="R172" s="13" t="s">
        <v>260</v>
      </c>
      <c r="S172" s="12" t="s">
        <v>330</v>
      </c>
      <c r="T172" s="12" t="s">
        <v>331</v>
      </c>
    </row>
    <row r="173" customFormat="false" ht="23.85" hidden="false" customHeight="false" outlineLevel="0" collapsed="false">
      <c r="A173" s="12" t="s">
        <v>930</v>
      </c>
      <c r="B173" s="12" t="s">
        <v>975</v>
      </c>
      <c r="C173" s="13" t="s">
        <v>95</v>
      </c>
      <c r="D173" s="12"/>
      <c r="E173" s="12" t="s">
        <v>970</v>
      </c>
      <c r="F173" s="13" t="s">
        <v>327</v>
      </c>
      <c r="G173" s="13"/>
      <c r="H173" s="13" t="s">
        <v>99</v>
      </c>
      <c r="I173" s="13"/>
      <c r="J173" s="12"/>
      <c r="K173" s="12" t="s">
        <v>777</v>
      </c>
      <c r="L173" s="12"/>
      <c r="M173" s="12" t="s">
        <v>177</v>
      </c>
      <c r="N173" s="12" t="s">
        <v>265</v>
      </c>
      <c r="O173" s="14" t="s">
        <v>106</v>
      </c>
      <c r="P173" s="12"/>
      <c r="Q173" s="12" t="s">
        <v>976</v>
      </c>
      <c r="R173" s="13" t="s">
        <v>260</v>
      </c>
      <c r="S173" s="12" t="s">
        <v>330</v>
      </c>
      <c r="T173" s="12" t="s">
        <v>331</v>
      </c>
    </row>
    <row r="174" customFormat="false" ht="23.85" hidden="false" customHeight="false" outlineLevel="0" collapsed="false">
      <c r="A174" s="12" t="s">
        <v>930</v>
      </c>
      <c r="B174" s="12" t="s">
        <v>977</v>
      </c>
      <c r="C174" s="13" t="s">
        <v>95</v>
      </c>
      <c r="D174" s="12"/>
      <c r="E174" s="12" t="s">
        <v>978</v>
      </c>
      <c r="F174" s="13" t="s">
        <v>81</v>
      </c>
      <c r="G174" s="13" t="s">
        <v>98</v>
      </c>
      <c r="H174" s="13"/>
      <c r="I174" s="13"/>
      <c r="J174" s="12" t="s">
        <v>979</v>
      </c>
      <c r="K174" s="12"/>
      <c r="L174" s="12"/>
      <c r="M174" s="12" t="s">
        <v>980</v>
      </c>
      <c r="N174" s="12" t="s">
        <v>981</v>
      </c>
      <c r="O174" s="14" t="s">
        <v>106</v>
      </c>
      <c r="P174" s="12" t="s">
        <v>982</v>
      </c>
      <c r="Q174" s="12" t="s">
        <v>983</v>
      </c>
      <c r="R174" s="13" t="s">
        <v>168</v>
      </c>
      <c r="S174" s="12" t="s">
        <v>330</v>
      </c>
      <c r="T174" s="12" t="s">
        <v>331</v>
      </c>
    </row>
    <row r="175" customFormat="false" ht="23.85" hidden="false" customHeight="false" outlineLevel="0" collapsed="false">
      <c r="A175" s="12" t="s">
        <v>930</v>
      </c>
      <c r="B175" s="12" t="s">
        <v>984</v>
      </c>
      <c r="C175" s="13" t="s">
        <v>95</v>
      </c>
      <c r="D175" s="12"/>
      <c r="E175" s="12" t="s">
        <v>985</v>
      </c>
      <c r="F175" s="13" t="s">
        <v>327</v>
      </c>
      <c r="G175" s="13" t="s">
        <v>99</v>
      </c>
      <c r="H175" s="13"/>
      <c r="I175" s="13"/>
      <c r="J175" s="12" t="s">
        <v>417</v>
      </c>
      <c r="K175" s="12"/>
      <c r="L175" s="12"/>
      <c r="M175" s="12" t="s">
        <v>702</v>
      </c>
      <c r="N175" s="12" t="s">
        <v>981</v>
      </c>
      <c r="O175" s="14" t="s">
        <v>106</v>
      </c>
      <c r="P175" s="12" t="s">
        <v>986</v>
      </c>
      <c r="Q175" s="12" t="s">
        <v>987</v>
      </c>
      <c r="R175" s="13" t="s">
        <v>260</v>
      </c>
      <c r="S175" s="12" t="s">
        <v>330</v>
      </c>
      <c r="T175" s="12" t="s">
        <v>331</v>
      </c>
    </row>
    <row r="176" customFormat="false" ht="23.85" hidden="false" customHeight="false" outlineLevel="0" collapsed="false">
      <c r="A176" s="12" t="s">
        <v>930</v>
      </c>
      <c r="B176" s="12" t="s">
        <v>988</v>
      </c>
      <c r="C176" s="13" t="s">
        <v>95</v>
      </c>
      <c r="D176" s="12"/>
      <c r="E176" s="12" t="s">
        <v>989</v>
      </c>
      <c r="F176" s="13" t="s">
        <v>81</v>
      </c>
      <c r="G176" s="13" t="s">
        <v>98</v>
      </c>
      <c r="H176" s="13"/>
      <c r="I176" s="13"/>
      <c r="J176" s="12" t="s">
        <v>990</v>
      </c>
      <c r="K176" s="12"/>
      <c r="L176" s="12"/>
      <c r="M176" s="12" t="s">
        <v>631</v>
      </c>
      <c r="N176" s="12" t="s">
        <v>528</v>
      </c>
      <c r="O176" s="14" t="s">
        <v>106</v>
      </c>
      <c r="P176" s="12"/>
      <c r="Q176" s="12" t="s">
        <v>991</v>
      </c>
      <c r="R176" s="13" t="s">
        <v>168</v>
      </c>
      <c r="S176" s="12" t="s">
        <v>330</v>
      </c>
      <c r="T176" s="12" t="s">
        <v>331</v>
      </c>
    </row>
    <row r="177" customFormat="false" ht="23.85" hidden="false" customHeight="false" outlineLevel="0" collapsed="false">
      <c r="A177" s="12" t="s">
        <v>930</v>
      </c>
      <c r="B177" s="12" t="s">
        <v>992</v>
      </c>
      <c r="C177" s="13" t="s">
        <v>95</v>
      </c>
      <c r="D177" s="12"/>
      <c r="E177" s="12" t="s">
        <v>978</v>
      </c>
      <c r="F177" s="13" t="s">
        <v>83</v>
      </c>
      <c r="G177" s="13"/>
      <c r="H177" s="13"/>
      <c r="I177" s="13" t="s">
        <v>98</v>
      </c>
      <c r="J177" s="12"/>
      <c r="K177" s="12"/>
      <c r="L177" s="12" t="s">
        <v>993</v>
      </c>
      <c r="M177" s="12" t="s">
        <v>980</v>
      </c>
      <c r="N177" s="12" t="s">
        <v>528</v>
      </c>
      <c r="O177" s="14" t="s">
        <v>106</v>
      </c>
      <c r="P177" s="12"/>
      <c r="Q177" s="12" t="s">
        <v>994</v>
      </c>
      <c r="R177" s="13" t="s">
        <v>168</v>
      </c>
      <c r="S177" s="12" t="s">
        <v>330</v>
      </c>
      <c r="T177" s="12" t="s">
        <v>331</v>
      </c>
    </row>
    <row r="178" customFormat="false" ht="23.85" hidden="false" customHeight="false" outlineLevel="0" collapsed="false">
      <c r="A178" s="12" t="s">
        <v>930</v>
      </c>
      <c r="B178" s="12" t="s">
        <v>995</v>
      </c>
      <c r="C178" s="13" t="s">
        <v>95</v>
      </c>
      <c r="D178" s="12"/>
      <c r="E178" s="12" t="s">
        <v>978</v>
      </c>
      <c r="F178" s="13" t="s">
        <v>327</v>
      </c>
      <c r="G178" s="13"/>
      <c r="H178" s="13" t="s">
        <v>99</v>
      </c>
      <c r="I178" s="13" t="s">
        <v>99</v>
      </c>
      <c r="J178" s="12"/>
      <c r="K178" s="12" t="s">
        <v>229</v>
      </c>
      <c r="L178" s="12" t="s">
        <v>996</v>
      </c>
      <c r="M178" s="12" t="s">
        <v>980</v>
      </c>
      <c r="N178" s="12" t="s">
        <v>528</v>
      </c>
      <c r="O178" s="14" t="s">
        <v>106</v>
      </c>
      <c r="P178" s="12"/>
      <c r="Q178" s="12" t="s">
        <v>997</v>
      </c>
      <c r="R178" s="13" t="s">
        <v>260</v>
      </c>
      <c r="S178" s="12" t="s">
        <v>330</v>
      </c>
      <c r="T178" s="12" t="s">
        <v>331</v>
      </c>
    </row>
    <row r="179" customFormat="false" ht="23.85" hidden="false" customHeight="false" outlineLevel="0" collapsed="false">
      <c r="A179" s="12" t="s">
        <v>930</v>
      </c>
      <c r="B179" s="12" t="s">
        <v>998</v>
      </c>
      <c r="C179" s="13" t="s">
        <v>95</v>
      </c>
      <c r="D179" s="12"/>
      <c r="E179" s="12" t="s">
        <v>978</v>
      </c>
      <c r="F179" s="13" t="s">
        <v>327</v>
      </c>
      <c r="G179" s="13" t="s">
        <v>99</v>
      </c>
      <c r="H179" s="13" t="s">
        <v>99</v>
      </c>
      <c r="I179" s="13"/>
      <c r="J179" s="12" t="s">
        <v>417</v>
      </c>
      <c r="K179" s="12" t="s">
        <v>417</v>
      </c>
      <c r="L179" s="12"/>
      <c r="M179" s="12" t="s">
        <v>980</v>
      </c>
      <c r="N179" s="12" t="s">
        <v>528</v>
      </c>
      <c r="O179" s="14" t="s">
        <v>106</v>
      </c>
      <c r="P179" s="12"/>
      <c r="Q179" s="12" t="s">
        <v>999</v>
      </c>
      <c r="R179" s="13" t="s">
        <v>260</v>
      </c>
      <c r="S179" s="12" t="s">
        <v>330</v>
      </c>
      <c r="T179" s="12" t="s">
        <v>331</v>
      </c>
    </row>
    <row r="180" customFormat="false" ht="23.85" hidden="false" customHeight="false" outlineLevel="0" collapsed="false">
      <c r="A180" s="12" t="s">
        <v>930</v>
      </c>
      <c r="B180" s="12" t="s">
        <v>1000</v>
      </c>
      <c r="C180" s="13" t="s">
        <v>95</v>
      </c>
      <c r="D180" s="12"/>
      <c r="E180" s="12" t="s">
        <v>985</v>
      </c>
      <c r="F180" s="13" t="s">
        <v>327</v>
      </c>
      <c r="G180" s="13" t="s">
        <v>99</v>
      </c>
      <c r="H180" s="13"/>
      <c r="I180" s="13"/>
      <c r="J180" s="12" t="s">
        <v>417</v>
      </c>
      <c r="K180" s="12"/>
      <c r="L180" s="12"/>
      <c r="M180" s="12" t="s">
        <v>702</v>
      </c>
      <c r="N180" s="12" t="s">
        <v>981</v>
      </c>
      <c r="O180" s="14" t="s">
        <v>106</v>
      </c>
      <c r="P180" s="12"/>
      <c r="Q180" s="12" t="s">
        <v>987</v>
      </c>
      <c r="R180" s="13" t="s">
        <v>260</v>
      </c>
      <c r="S180" s="12" t="s">
        <v>330</v>
      </c>
      <c r="T180" s="12" t="s">
        <v>331</v>
      </c>
    </row>
    <row r="181" customFormat="false" ht="23.85" hidden="false" customHeight="false" outlineLevel="0" collapsed="false">
      <c r="A181" s="12" t="s">
        <v>930</v>
      </c>
      <c r="B181" s="12" t="s">
        <v>1001</v>
      </c>
      <c r="C181" s="13" t="s">
        <v>95</v>
      </c>
      <c r="D181" s="12"/>
      <c r="E181" s="12" t="s">
        <v>978</v>
      </c>
      <c r="F181" s="13" t="s">
        <v>327</v>
      </c>
      <c r="G181" s="13"/>
      <c r="H181" s="13" t="s">
        <v>99</v>
      </c>
      <c r="I181" s="13"/>
      <c r="J181" s="12"/>
      <c r="K181" s="12" t="s">
        <v>1002</v>
      </c>
      <c r="L181" s="12"/>
      <c r="M181" s="12" t="s">
        <v>675</v>
      </c>
      <c r="N181" s="12" t="s">
        <v>528</v>
      </c>
      <c r="O181" s="14" t="s">
        <v>106</v>
      </c>
      <c r="P181" s="12"/>
      <c r="Q181" s="12" t="s">
        <v>1003</v>
      </c>
      <c r="R181" s="13" t="s">
        <v>260</v>
      </c>
      <c r="S181" s="12" t="s">
        <v>330</v>
      </c>
      <c r="T181" s="12" t="s">
        <v>331</v>
      </c>
    </row>
    <row r="182" customFormat="false" ht="23.85" hidden="false" customHeight="false" outlineLevel="0" collapsed="false">
      <c r="A182" s="12" t="s">
        <v>930</v>
      </c>
      <c r="B182" s="12" t="s">
        <v>1004</v>
      </c>
      <c r="C182" s="13" t="s">
        <v>95</v>
      </c>
      <c r="D182" s="12"/>
      <c r="E182" s="12" t="s">
        <v>1005</v>
      </c>
      <c r="F182" s="13" t="s">
        <v>327</v>
      </c>
      <c r="G182" s="13" t="s">
        <v>99</v>
      </c>
      <c r="H182" s="13"/>
      <c r="I182" s="13"/>
      <c r="J182" s="12" t="s">
        <v>1006</v>
      </c>
      <c r="K182" s="12"/>
      <c r="L182" s="12"/>
      <c r="M182" s="12" t="s">
        <v>244</v>
      </c>
      <c r="N182" s="12" t="s">
        <v>244</v>
      </c>
      <c r="O182" s="14" t="s">
        <v>106</v>
      </c>
      <c r="P182" s="12"/>
      <c r="Q182" s="12" t="s">
        <v>1007</v>
      </c>
      <c r="R182" s="13" t="s">
        <v>260</v>
      </c>
      <c r="S182" s="12" t="s">
        <v>330</v>
      </c>
      <c r="T182" s="12" t="s">
        <v>331</v>
      </c>
    </row>
    <row r="183" customFormat="false" ht="23.85" hidden="false" customHeight="false" outlineLevel="0" collapsed="false">
      <c r="A183" s="12" t="s">
        <v>930</v>
      </c>
      <c r="B183" s="12" t="s">
        <v>1008</v>
      </c>
      <c r="C183" s="13" t="s">
        <v>95</v>
      </c>
      <c r="D183" s="12"/>
      <c r="E183" s="12" t="s">
        <v>1009</v>
      </c>
      <c r="F183" s="13" t="s">
        <v>327</v>
      </c>
      <c r="G183" s="13"/>
      <c r="H183" s="13" t="s">
        <v>99</v>
      </c>
      <c r="I183" s="13"/>
      <c r="J183" s="12"/>
      <c r="K183" s="12" t="s">
        <v>417</v>
      </c>
      <c r="L183" s="12"/>
      <c r="M183" s="12" t="s">
        <v>457</v>
      </c>
      <c r="N183" s="12" t="s">
        <v>1010</v>
      </c>
      <c r="O183" s="14" t="s">
        <v>106</v>
      </c>
      <c r="P183" s="12" t="s">
        <v>1011</v>
      </c>
      <c r="Q183" s="12" t="s">
        <v>1012</v>
      </c>
      <c r="R183" s="13" t="s">
        <v>168</v>
      </c>
      <c r="S183" s="12" t="s">
        <v>940</v>
      </c>
      <c r="T183" s="15" t="s">
        <v>941</v>
      </c>
    </row>
    <row r="184" customFormat="false" ht="23.85" hidden="false" customHeight="false" outlineLevel="0" collapsed="false">
      <c r="A184" s="12" t="s">
        <v>930</v>
      </c>
      <c r="B184" s="12" t="s">
        <v>1013</v>
      </c>
      <c r="C184" s="13" t="s">
        <v>303</v>
      </c>
      <c r="D184" s="12"/>
      <c r="E184" s="12" t="s">
        <v>1014</v>
      </c>
      <c r="F184" s="13" t="s">
        <v>321</v>
      </c>
      <c r="G184" s="13"/>
      <c r="H184" s="13"/>
      <c r="I184" s="13"/>
      <c r="J184" s="12"/>
      <c r="K184" s="12"/>
      <c r="L184" s="12"/>
      <c r="M184" s="12" t="s">
        <v>702</v>
      </c>
      <c r="N184" s="12" t="s">
        <v>1015</v>
      </c>
      <c r="O184" s="14" t="s">
        <v>106</v>
      </c>
      <c r="P184" s="12" t="s">
        <v>1016</v>
      </c>
      <c r="Q184" s="12"/>
      <c r="R184" s="13" t="s">
        <v>168</v>
      </c>
      <c r="S184" s="12" t="s">
        <v>1017</v>
      </c>
      <c r="T184" s="15" t="s">
        <v>941</v>
      </c>
    </row>
    <row r="185" customFormat="false" ht="46.25" hidden="false" customHeight="false" outlineLevel="0" collapsed="false">
      <c r="A185" s="12" t="s">
        <v>930</v>
      </c>
      <c r="B185" s="12" t="s">
        <v>1018</v>
      </c>
      <c r="C185" s="13" t="s">
        <v>95</v>
      </c>
      <c r="D185" s="12"/>
      <c r="E185" s="12" t="s">
        <v>1019</v>
      </c>
      <c r="F185" s="13" t="s">
        <v>327</v>
      </c>
      <c r="G185" s="13" t="s">
        <v>99</v>
      </c>
      <c r="H185" s="13" t="s">
        <v>99</v>
      </c>
      <c r="I185" s="13" t="s">
        <v>99</v>
      </c>
      <c r="J185" s="12" t="s">
        <v>270</v>
      </c>
      <c r="K185" s="12" t="s">
        <v>935</v>
      </c>
      <c r="L185" s="12" t="s">
        <v>936</v>
      </c>
      <c r="M185" s="12" t="s">
        <v>327</v>
      </c>
      <c r="N185" s="12" t="s">
        <v>327</v>
      </c>
      <c r="O185" s="14" t="s">
        <v>106</v>
      </c>
      <c r="P185" s="12" t="s">
        <v>1020</v>
      </c>
      <c r="Q185" s="12" t="s">
        <v>1021</v>
      </c>
      <c r="R185" s="13" t="s">
        <v>168</v>
      </c>
      <c r="S185" s="12" t="s">
        <v>1022</v>
      </c>
      <c r="T185" s="15" t="s">
        <v>1023</v>
      </c>
    </row>
    <row r="186" customFormat="false" ht="39.55" hidden="false" customHeight="false" outlineLevel="0" collapsed="false">
      <c r="A186" s="11" t="s">
        <v>1024</v>
      </c>
      <c r="B186" s="11"/>
      <c r="C186" s="11"/>
      <c r="D186" s="11"/>
      <c r="E186" s="11"/>
      <c r="F186" s="11"/>
      <c r="G186" s="11"/>
      <c r="H186" s="11"/>
      <c r="I186" s="11"/>
      <c r="J186" s="11"/>
      <c r="K186" s="11"/>
      <c r="L186" s="11"/>
      <c r="M186" s="11"/>
      <c r="N186" s="11"/>
      <c r="O186" s="11"/>
      <c r="P186" s="11"/>
      <c r="Q186" s="11"/>
      <c r="R186" s="11"/>
      <c r="S186" s="11"/>
      <c r="T186" s="11"/>
    </row>
    <row r="187" customFormat="false" ht="23.85" hidden="false" customHeight="false" outlineLevel="0" collapsed="false">
      <c r="A187" s="12" t="s">
        <v>1024</v>
      </c>
      <c r="B187" s="12" t="s">
        <v>1025</v>
      </c>
      <c r="C187" s="13" t="s">
        <v>303</v>
      </c>
      <c r="D187" s="12"/>
      <c r="E187" s="12" t="s">
        <v>1026</v>
      </c>
      <c r="F187" s="13" t="s">
        <v>149</v>
      </c>
      <c r="G187" s="13" t="s">
        <v>98</v>
      </c>
      <c r="H187" s="13" t="s">
        <v>98</v>
      </c>
      <c r="I187" s="13" t="s">
        <v>98</v>
      </c>
      <c r="J187" s="12"/>
      <c r="K187" s="12"/>
      <c r="L187" s="12"/>
      <c r="M187" s="12" t="s">
        <v>1027</v>
      </c>
      <c r="N187" s="12" t="s">
        <v>1028</v>
      </c>
      <c r="O187" s="13" t="s">
        <v>307</v>
      </c>
      <c r="P187" s="12" t="s">
        <v>1029</v>
      </c>
      <c r="Q187" s="12" t="s">
        <v>1030</v>
      </c>
      <c r="R187" s="13" t="s">
        <v>168</v>
      </c>
      <c r="S187" s="12" t="s">
        <v>1031</v>
      </c>
      <c r="T187" s="15" t="s">
        <v>1032</v>
      </c>
    </row>
    <row r="188" customFormat="false" ht="35.05" hidden="false" customHeight="false" outlineLevel="0" collapsed="false">
      <c r="A188" s="12" t="s">
        <v>1024</v>
      </c>
      <c r="B188" s="12" t="s">
        <v>1033</v>
      </c>
      <c r="C188" s="13" t="s">
        <v>303</v>
      </c>
      <c r="D188" s="12"/>
      <c r="E188" s="12" t="s">
        <v>1034</v>
      </c>
      <c r="F188" s="13" t="s">
        <v>149</v>
      </c>
      <c r="G188" s="13" t="s">
        <v>98</v>
      </c>
      <c r="H188" s="13" t="s">
        <v>98</v>
      </c>
      <c r="I188" s="13" t="s">
        <v>98</v>
      </c>
      <c r="J188" s="12"/>
      <c r="K188" s="12"/>
      <c r="L188" s="12"/>
      <c r="M188" s="12" t="s">
        <v>1035</v>
      </c>
      <c r="N188" s="12" t="s">
        <v>1036</v>
      </c>
      <c r="O188" s="13" t="s">
        <v>307</v>
      </c>
      <c r="P188" s="12" t="s">
        <v>1037</v>
      </c>
      <c r="Q188" s="12" t="s">
        <v>1038</v>
      </c>
      <c r="R188" s="13" t="s">
        <v>109</v>
      </c>
      <c r="S188" s="12" t="s">
        <v>1039</v>
      </c>
      <c r="T188" s="15" t="s">
        <v>1032</v>
      </c>
    </row>
    <row r="189" customFormat="false" ht="46.25" hidden="false" customHeight="false" outlineLevel="0" collapsed="false">
      <c r="A189" s="12" t="s">
        <v>1024</v>
      </c>
      <c r="B189" s="12" t="s">
        <v>1040</v>
      </c>
      <c r="C189" s="13" t="s">
        <v>95</v>
      </c>
      <c r="D189" s="12"/>
      <c r="E189" s="12" t="s">
        <v>1041</v>
      </c>
      <c r="F189" s="13" t="s">
        <v>149</v>
      </c>
      <c r="G189" s="13" t="s">
        <v>98</v>
      </c>
      <c r="H189" s="13" t="s">
        <v>98</v>
      </c>
      <c r="I189" s="13" t="s">
        <v>98</v>
      </c>
      <c r="J189" s="12"/>
      <c r="K189" s="12"/>
      <c r="L189" s="12" t="s">
        <v>503</v>
      </c>
      <c r="M189" s="12" t="s">
        <v>189</v>
      </c>
      <c r="N189" s="12" t="s">
        <v>1042</v>
      </c>
      <c r="O189" s="16" t="s">
        <v>95</v>
      </c>
      <c r="P189" s="12" t="s">
        <v>1043</v>
      </c>
      <c r="Q189" s="12" t="s">
        <v>1044</v>
      </c>
      <c r="R189" s="13" t="s">
        <v>168</v>
      </c>
      <c r="S189" s="12" t="s">
        <v>1045</v>
      </c>
      <c r="T189" s="15" t="s">
        <v>1046</v>
      </c>
    </row>
    <row r="190" customFormat="false" ht="23.85" hidden="false" customHeight="false" outlineLevel="0" collapsed="false">
      <c r="A190" s="12" t="s">
        <v>1024</v>
      </c>
      <c r="B190" s="12" t="s">
        <v>1047</v>
      </c>
      <c r="C190" s="13" t="s">
        <v>95</v>
      </c>
      <c r="D190" s="12"/>
      <c r="E190" s="12" t="s">
        <v>1048</v>
      </c>
      <c r="F190" s="13" t="s">
        <v>149</v>
      </c>
      <c r="G190" s="13" t="s">
        <v>98</v>
      </c>
      <c r="H190" s="13" t="s">
        <v>98</v>
      </c>
      <c r="I190" s="13" t="s">
        <v>98</v>
      </c>
      <c r="J190" s="12"/>
      <c r="K190" s="12"/>
      <c r="L190" s="12" t="s">
        <v>503</v>
      </c>
      <c r="M190" s="12" t="s">
        <v>164</v>
      </c>
      <c r="N190" s="12" t="s">
        <v>1049</v>
      </c>
      <c r="O190" s="13" t="s">
        <v>307</v>
      </c>
      <c r="P190" s="12"/>
      <c r="Q190" s="12" t="s">
        <v>1050</v>
      </c>
      <c r="R190" s="13" t="s">
        <v>168</v>
      </c>
      <c r="S190" s="12" t="s">
        <v>330</v>
      </c>
      <c r="T190" s="12" t="s">
        <v>331</v>
      </c>
    </row>
    <row r="191" customFormat="false" ht="35.05" hidden="false" customHeight="false" outlineLevel="0" collapsed="false">
      <c r="A191" s="12" t="s">
        <v>1024</v>
      </c>
      <c r="B191" s="12" t="s">
        <v>1051</v>
      </c>
      <c r="C191" s="13" t="s">
        <v>95</v>
      </c>
      <c r="D191" s="12"/>
      <c r="E191" s="12" t="s">
        <v>1052</v>
      </c>
      <c r="F191" s="13" t="s">
        <v>149</v>
      </c>
      <c r="G191" s="13" t="s">
        <v>98</v>
      </c>
      <c r="H191" s="13" t="s">
        <v>98</v>
      </c>
      <c r="I191" s="13" t="s">
        <v>98</v>
      </c>
      <c r="J191" s="12"/>
      <c r="K191" s="12"/>
      <c r="L191" s="12" t="s">
        <v>417</v>
      </c>
      <c r="M191" s="12" t="s">
        <v>189</v>
      </c>
      <c r="N191" s="12" t="s">
        <v>1053</v>
      </c>
      <c r="O191" s="13" t="s">
        <v>307</v>
      </c>
      <c r="P191" s="12"/>
      <c r="Q191" s="12" t="s">
        <v>1054</v>
      </c>
      <c r="R191" s="13" t="s">
        <v>168</v>
      </c>
      <c r="S191" s="12" t="s">
        <v>330</v>
      </c>
      <c r="T191" s="12" t="s">
        <v>331</v>
      </c>
    </row>
    <row r="192" customFormat="false" ht="23.85" hidden="false" customHeight="false" outlineLevel="0" collapsed="false">
      <c r="A192" s="12" t="s">
        <v>1024</v>
      </c>
      <c r="B192" s="12" t="s">
        <v>1055</v>
      </c>
      <c r="C192" s="13" t="s">
        <v>303</v>
      </c>
      <c r="D192" s="12"/>
      <c r="E192" s="12" t="s">
        <v>1056</v>
      </c>
      <c r="F192" s="13" t="s">
        <v>561</v>
      </c>
      <c r="G192" s="13"/>
      <c r="H192" s="13"/>
      <c r="I192" s="13"/>
      <c r="J192" s="12"/>
      <c r="K192" s="12"/>
      <c r="L192" s="12"/>
      <c r="M192" s="12" t="s">
        <v>189</v>
      </c>
      <c r="N192" s="12" t="s">
        <v>457</v>
      </c>
      <c r="O192" s="16" t="s">
        <v>95</v>
      </c>
      <c r="P192" s="12" t="s">
        <v>1057</v>
      </c>
      <c r="Q192" s="12"/>
      <c r="R192" s="13" t="s">
        <v>109</v>
      </c>
      <c r="S192" s="12" t="s">
        <v>1058</v>
      </c>
      <c r="T192" s="15" t="s">
        <v>1046</v>
      </c>
    </row>
    <row r="193" customFormat="false" ht="23.85" hidden="false" customHeight="false" outlineLevel="0" collapsed="false">
      <c r="A193" s="12" t="s">
        <v>1024</v>
      </c>
      <c r="B193" s="12" t="s">
        <v>1059</v>
      </c>
      <c r="C193" s="13" t="s">
        <v>303</v>
      </c>
      <c r="D193" s="12"/>
      <c r="E193" s="12" t="s">
        <v>1060</v>
      </c>
      <c r="F193" s="13" t="s">
        <v>561</v>
      </c>
      <c r="G193" s="13"/>
      <c r="H193" s="13"/>
      <c r="I193" s="13"/>
      <c r="J193" s="12"/>
      <c r="K193" s="12"/>
      <c r="L193" s="12"/>
      <c r="M193" s="12" t="s">
        <v>189</v>
      </c>
      <c r="N193" s="12" t="s">
        <v>1061</v>
      </c>
      <c r="O193" s="16" t="s">
        <v>95</v>
      </c>
      <c r="P193" s="12" t="s">
        <v>1062</v>
      </c>
      <c r="Q193" s="12"/>
      <c r="R193" s="13" t="s">
        <v>109</v>
      </c>
      <c r="S193" s="12" t="s">
        <v>1063</v>
      </c>
      <c r="T193" s="15" t="s">
        <v>1064</v>
      </c>
    </row>
    <row r="194" customFormat="false" ht="23.85" hidden="false" customHeight="false" outlineLevel="0" collapsed="false">
      <c r="A194" s="12" t="s">
        <v>1024</v>
      </c>
      <c r="B194" s="12" t="s">
        <v>1065</v>
      </c>
      <c r="C194" s="13" t="s">
        <v>303</v>
      </c>
      <c r="D194" s="12"/>
      <c r="E194" s="12" t="s">
        <v>1066</v>
      </c>
      <c r="F194" s="13" t="s">
        <v>561</v>
      </c>
      <c r="G194" s="13"/>
      <c r="H194" s="13"/>
      <c r="I194" s="13"/>
      <c r="J194" s="12"/>
      <c r="K194" s="12"/>
      <c r="L194" s="12"/>
      <c r="M194" s="12" t="s">
        <v>189</v>
      </c>
      <c r="N194" s="12" t="s">
        <v>492</v>
      </c>
      <c r="O194" s="16" t="s">
        <v>95</v>
      </c>
      <c r="P194" s="12" t="s">
        <v>1067</v>
      </c>
      <c r="Q194" s="12" t="s">
        <v>1068</v>
      </c>
      <c r="R194" s="13" t="s">
        <v>109</v>
      </c>
      <c r="S194" s="12" t="s">
        <v>1058</v>
      </c>
      <c r="T194" s="15" t="s">
        <v>1046</v>
      </c>
    </row>
    <row r="195" customFormat="false" ht="23.85" hidden="false" customHeight="false" outlineLevel="0" collapsed="false">
      <c r="A195" s="12" t="s">
        <v>1024</v>
      </c>
      <c r="B195" s="12" t="s">
        <v>1069</v>
      </c>
      <c r="C195" s="13" t="s">
        <v>303</v>
      </c>
      <c r="D195" s="12"/>
      <c r="E195" s="12" t="s">
        <v>1070</v>
      </c>
      <c r="F195" s="13" t="s">
        <v>561</v>
      </c>
      <c r="G195" s="13"/>
      <c r="H195" s="13"/>
      <c r="I195" s="13"/>
      <c r="J195" s="12"/>
      <c r="K195" s="12"/>
      <c r="L195" s="12"/>
      <c r="M195" s="12" t="s">
        <v>177</v>
      </c>
      <c r="N195" s="12" t="s">
        <v>1071</v>
      </c>
      <c r="O195" s="16" t="s">
        <v>95</v>
      </c>
      <c r="P195" s="12" t="s">
        <v>1072</v>
      </c>
      <c r="Q195" s="12" t="s">
        <v>1073</v>
      </c>
      <c r="R195" s="13" t="s">
        <v>168</v>
      </c>
      <c r="S195" s="12" t="s">
        <v>1058</v>
      </c>
      <c r="T195" s="15" t="s">
        <v>1046</v>
      </c>
    </row>
    <row r="196" customFormat="false" ht="23.85" hidden="false" customHeight="false" outlineLevel="0" collapsed="false">
      <c r="A196" s="12" t="s">
        <v>1024</v>
      </c>
      <c r="B196" s="12" t="s">
        <v>1074</v>
      </c>
      <c r="C196" s="13" t="s">
        <v>303</v>
      </c>
      <c r="D196" s="12"/>
      <c r="E196" s="12" t="s">
        <v>1075</v>
      </c>
      <c r="F196" s="13" t="s">
        <v>561</v>
      </c>
      <c r="G196" s="13"/>
      <c r="H196" s="13"/>
      <c r="I196" s="13"/>
      <c r="J196" s="12"/>
      <c r="K196" s="12"/>
      <c r="L196" s="12"/>
      <c r="M196" s="12" t="s">
        <v>189</v>
      </c>
      <c r="N196" s="12" t="s">
        <v>1076</v>
      </c>
      <c r="O196" s="16" t="s">
        <v>95</v>
      </c>
      <c r="P196" s="12" t="s">
        <v>1077</v>
      </c>
      <c r="Q196" s="12" t="s">
        <v>1078</v>
      </c>
      <c r="R196" s="13" t="s">
        <v>168</v>
      </c>
      <c r="S196" s="12" t="s">
        <v>1058</v>
      </c>
      <c r="T196" s="15" t="s">
        <v>1046</v>
      </c>
    </row>
    <row r="197" customFormat="false" ht="23.85" hidden="false" customHeight="false" outlineLevel="0" collapsed="false">
      <c r="A197" s="12" t="s">
        <v>1024</v>
      </c>
      <c r="B197" s="12" t="s">
        <v>1079</v>
      </c>
      <c r="C197" s="13" t="s">
        <v>303</v>
      </c>
      <c r="D197" s="12"/>
      <c r="E197" s="12" t="s">
        <v>1080</v>
      </c>
      <c r="F197" s="13" t="s">
        <v>321</v>
      </c>
      <c r="G197" s="13"/>
      <c r="H197" s="13"/>
      <c r="I197" s="13"/>
      <c r="J197" s="12"/>
      <c r="K197" s="12"/>
      <c r="L197" s="12"/>
      <c r="M197" s="12" t="s">
        <v>189</v>
      </c>
      <c r="N197" s="12" t="s">
        <v>1081</v>
      </c>
      <c r="O197" s="14" t="s">
        <v>106</v>
      </c>
      <c r="P197" s="12" t="s">
        <v>1082</v>
      </c>
      <c r="Q197" s="12" t="s">
        <v>1083</v>
      </c>
      <c r="R197" s="13" t="s">
        <v>260</v>
      </c>
      <c r="S197" s="12" t="s">
        <v>588</v>
      </c>
      <c r="T197" s="12" t="s">
        <v>589</v>
      </c>
    </row>
    <row r="198" customFormat="false" ht="26.85" hidden="false" customHeight="false" outlineLevel="0" collapsed="false">
      <c r="A198" s="11" t="s">
        <v>1084</v>
      </c>
      <c r="B198" s="11"/>
      <c r="C198" s="11"/>
      <c r="D198" s="11"/>
      <c r="E198" s="11"/>
      <c r="F198" s="11"/>
      <c r="G198" s="11"/>
      <c r="H198" s="11"/>
      <c r="I198" s="11"/>
      <c r="J198" s="11"/>
      <c r="K198" s="11"/>
      <c r="L198" s="11"/>
      <c r="M198" s="11"/>
      <c r="N198" s="11"/>
      <c r="O198" s="11"/>
      <c r="P198" s="11"/>
      <c r="Q198" s="11"/>
      <c r="R198" s="11"/>
      <c r="S198" s="11"/>
      <c r="T198" s="11"/>
    </row>
    <row r="199" customFormat="false" ht="23.85" hidden="false" customHeight="false" outlineLevel="0" collapsed="false">
      <c r="A199" s="12" t="s">
        <v>1084</v>
      </c>
      <c r="B199" s="12" t="s">
        <v>1085</v>
      </c>
      <c r="C199" s="13" t="s">
        <v>303</v>
      </c>
      <c r="D199" s="12"/>
      <c r="E199" s="12" t="s">
        <v>1086</v>
      </c>
      <c r="F199" s="13" t="s">
        <v>561</v>
      </c>
      <c r="G199" s="13"/>
      <c r="H199" s="13"/>
      <c r="I199" s="13"/>
      <c r="J199" s="12"/>
      <c r="K199" s="12"/>
      <c r="L199" s="12"/>
      <c r="M199" s="12" t="s">
        <v>593</v>
      </c>
      <c r="N199" s="12" t="s">
        <v>1087</v>
      </c>
      <c r="O199" s="16" t="s">
        <v>95</v>
      </c>
      <c r="P199" s="12" t="s">
        <v>1088</v>
      </c>
      <c r="Q199" s="12" t="s">
        <v>1089</v>
      </c>
      <c r="R199" s="13" t="s">
        <v>109</v>
      </c>
      <c r="S199" s="12" t="s">
        <v>1090</v>
      </c>
      <c r="T199" s="15" t="s">
        <v>1091</v>
      </c>
    </row>
    <row r="200" customFormat="false" ht="23.85" hidden="false" customHeight="false" outlineLevel="0" collapsed="false">
      <c r="A200" s="12" t="s">
        <v>1084</v>
      </c>
      <c r="B200" s="12" t="s">
        <v>1092</v>
      </c>
      <c r="C200" s="13" t="s">
        <v>303</v>
      </c>
      <c r="D200" s="12"/>
      <c r="E200" s="12" t="s">
        <v>1093</v>
      </c>
      <c r="F200" s="13" t="s">
        <v>561</v>
      </c>
      <c r="G200" s="13"/>
      <c r="H200" s="13"/>
      <c r="I200" s="13"/>
      <c r="J200" s="12"/>
      <c r="K200" s="12"/>
      <c r="L200" s="12"/>
      <c r="M200" s="12" t="s">
        <v>593</v>
      </c>
      <c r="N200" s="12" t="s">
        <v>1087</v>
      </c>
      <c r="O200" s="16" t="s">
        <v>95</v>
      </c>
      <c r="P200" s="12" t="s">
        <v>1094</v>
      </c>
      <c r="Q200" s="12" t="s">
        <v>1095</v>
      </c>
      <c r="R200" s="13" t="s">
        <v>109</v>
      </c>
      <c r="S200" s="12" t="s">
        <v>1090</v>
      </c>
      <c r="T200" s="15" t="s">
        <v>1091</v>
      </c>
    </row>
    <row r="201" customFormat="false" ht="23.85" hidden="false" customHeight="false" outlineLevel="0" collapsed="false">
      <c r="A201" s="12" t="s">
        <v>1084</v>
      </c>
      <c r="B201" s="12" t="s">
        <v>1096</v>
      </c>
      <c r="C201" s="13" t="s">
        <v>303</v>
      </c>
      <c r="D201" s="12"/>
      <c r="E201" s="12" t="s">
        <v>1097</v>
      </c>
      <c r="F201" s="13" t="s">
        <v>561</v>
      </c>
      <c r="G201" s="13"/>
      <c r="H201" s="13"/>
      <c r="I201" s="13"/>
      <c r="J201" s="12"/>
      <c r="K201" s="12"/>
      <c r="L201" s="12"/>
      <c r="M201" s="12" t="s">
        <v>593</v>
      </c>
      <c r="N201" s="12" t="s">
        <v>1087</v>
      </c>
      <c r="O201" s="16" t="s">
        <v>95</v>
      </c>
      <c r="P201" s="12" t="s">
        <v>1098</v>
      </c>
      <c r="Q201" s="12" t="s">
        <v>1099</v>
      </c>
      <c r="R201" s="13" t="s">
        <v>109</v>
      </c>
      <c r="S201" s="12" t="s">
        <v>1090</v>
      </c>
      <c r="T201" s="15" t="s">
        <v>1091</v>
      </c>
    </row>
    <row r="202" customFormat="false" ht="23.85" hidden="false" customHeight="false" outlineLevel="0" collapsed="false">
      <c r="A202" s="12" t="s">
        <v>1084</v>
      </c>
      <c r="B202" s="12" t="s">
        <v>1100</v>
      </c>
      <c r="C202" s="13" t="s">
        <v>303</v>
      </c>
      <c r="D202" s="12"/>
      <c r="E202" s="12" t="s">
        <v>1101</v>
      </c>
      <c r="F202" s="13" t="s">
        <v>561</v>
      </c>
      <c r="G202" s="13"/>
      <c r="H202" s="13"/>
      <c r="I202" s="13"/>
      <c r="J202" s="12"/>
      <c r="K202" s="12"/>
      <c r="L202" s="12"/>
      <c r="M202" s="12" t="s">
        <v>593</v>
      </c>
      <c r="N202" s="12" t="s">
        <v>1087</v>
      </c>
      <c r="O202" s="16" t="s">
        <v>95</v>
      </c>
      <c r="P202" s="12" t="s">
        <v>1102</v>
      </c>
      <c r="Q202" s="12" t="s">
        <v>1089</v>
      </c>
      <c r="R202" s="13" t="s">
        <v>109</v>
      </c>
      <c r="S202" s="12" t="s">
        <v>1090</v>
      </c>
      <c r="T202" s="15" t="s">
        <v>1091</v>
      </c>
    </row>
    <row r="203" customFormat="false" ht="46.25" hidden="false" customHeight="false" outlineLevel="0" collapsed="false">
      <c r="A203" s="12" t="s">
        <v>1084</v>
      </c>
      <c r="B203" s="12" t="s">
        <v>1103</v>
      </c>
      <c r="C203" s="13" t="s">
        <v>303</v>
      </c>
      <c r="D203" s="12"/>
      <c r="E203" s="12" t="s">
        <v>1104</v>
      </c>
      <c r="F203" s="13" t="s">
        <v>561</v>
      </c>
      <c r="G203" s="13"/>
      <c r="H203" s="13"/>
      <c r="I203" s="13"/>
      <c r="J203" s="12"/>
      <c r="K203" s="12"/>
      <c r="L203" s="12"/>
      <c r="M203" s="12" t="s">
        <v>593</v>
      </c>
      <c r="N203" s="12" t="s">
        <v>1087</v>
      </c>
      <c r="O203" s="16" t="s">
        <v>95</v>
      </c>
      <c r="P203" s="12" t="s">
        <v>1105</v>
      </c>
      <c r="Q203" s="12" t="s">
        <v>1106</v>
      </c>
      <c r="R203" s="13" t="s">
        <v>168</v>
      </c>
      <c r="S203" s="12" t="s">
        <v>1090</v>
      </c>
      <c r="T203" s="15" t="s">
        <v>1091</v>
      </c>
    </row>
    <row r="204" customFormat="false" ht="46.25" hidden="false" customHeight="false" outlineLevel="0" collapsed="false">
      <c r="A204" s="12" t="s">
        <v>1084</v>
      </c>
      <c r="B204" s="12" t="s">
        <v>1107</v>
      </c>
      <c r="C204" s="13" t="s">
        <v>303</v>
      </c>
      <c r="D204" s="12"/>
      <c r="E204" s="12" t="s">
        <v>1101</v>
      </c>
      <c r="F204" s="13" t="s">
        <v>561</v>
      </c>
      <c r="G204" s="13"/>
      <c r="H204" s="13"/>
      <c r="I204" s="13"/>
      <c r="J204" s="12"/>
      <c r="K204" s="12"/>
      <c r="L204" s="12"/>
      <c r="M204" s="12" t="s">
        <v>593</v>
      </c>
      <c r="N204" s="12" t="s">
        <v>1108</v>
      </c>
      <c r="O204" s="16" t="s">
        <v>95</v>
      </c>
      <c r="P204" s="12" t="s">
        <v>1109</v>
      </c>
      <c r="Q204" s="12" t="s">
        <v>1110</v>
      </c>
      <c r="R204" s="13" t="s">
        <v>168</v>
      </c>
      <c r="S204" s="12" t="s">
        <v>1090</v>
      </c>
      <c r="T204" s="15" t="s">
        <v>1091</v>
      </c>
    </row>
    <row r="205" customFormat="false" ht="23.85" hidden="false" customHeight="false" outlineLevel="0" collapsed="false">
      <c r="A205" s="12" t="s">
        <v>1084</v>
      </c>
      <c r="B205" s="12" t="s">
        <v>1111</v>
      </c>
      <c r="C205" s="13" t="s">
        <v>303</v>
      </c>
      <c r="D205" s="12"/>
      <c r="E205" s="12" t="s">
        <v>1101</v>
      </c>
      <c r="F205" s="13" t="s">
        <v>321</v>
      </c>
      <c r="G205" s="13"/>
      <c r="H205" s="13"/>
      <c r="I205" s="13"/>
      <c r="J205" s="12"/>
      <c r="K205" s="12"/>
      <c r="L205" s="12"/>
      <c r="M205" s="12" t="s">
        <v>593</v>
      </c>
      <c r="N205" s="12" t="s">
        <v>1087</v>
      </c>
      <c r="O205" s="14" t="s">
        <v>106</v>
      </c>
      <c r="P205" s="12" t="s">
        <v>1112</v>
      </c>
      <c r="Q205" s="12" t="s">
        <v>1113</v>
      </c>
      <c r="R205" s="13" t="s">
        <v>168</v>
      </c>
      <c r="S205" s="12" t="s">
        <v>1090</v>
      </c>
      <c r="T205" s="15" t="s">
        <v>1091</v>
      </c>
    </row>
    <row r="206" customFormat="false" ht="23.85" hidden="false" customHeight="false" outlineLevel="0" collapsed="false">
      <c r="A206" s="12" t="s">
        <v>1084</v>
      </c>
      <c r="B206" s="12" t="s">
        <v>1114</v>
      </c>
      <c r="C206" s="13" t="s">
        <v>303</v>
      </c>
      <c r="D206" s="12"/>
      <c r="E206" s="12" t="s">
        <v>1115</v>
      </c>
      <c r="F206" s="13" t="s">
        <v>321</v>
      </c>
      <c r="G206" s="13"/>
      <c r="H206" s="13"/>
      <c r="I206" s="13"/>
      <c r="J206" s="12"/>
      <c r="K206" s="12"/>
      <c r="L206" s="12"/>
      <c r="M206" s="12" t="s">
        <v>593</v>
      </c>
      <c r="N206" s="12" t="s">
        <v>923</v>
      </c>
      <c r="O206" s="14" t="s">
        <v>106</v>
      </c>
      <c r="P206" s="12" t="s">
        <v>1116</v>
      </c>
      <c r="Q206" s="12" t="s">
        <v>1117</v>
      </c>
      <c r="R206" s="13" t="s">
        <v>168</v>
      </c>
      <c r="S206" s="12" t="s">
        <v>1090</v>
      </c>
      <c r="T206" s="15" t="s">
        <v>1091</v>
      </c>
    </row>
    <row r="207" customFormat="false" ht="26.85" hidden="false" customHeight="false" outlineLevel="0" collapsed="false">
      <c r="A207" s="11" t="s">
        <v>1118</v>
      </c>
      <c r="B207" s="11"/>
      <c r="C207" s="11"/>
      <c r="D207" s="11"/>
      <c r="E207" s="11"/>
      <c r="F207" s="11"/>
      <c r="G207" s="11"/>
      <c r="H207" s="11"/>
      <c r="I207" s="11"/>
      <c r="J207" s="11"/>
      <c r="K207" s="11"/>
      <c r="L207" s="11"/>
      <c r="M207" s="11"/>
      <c r="N207" s="11"/>
      <c r="O207" s="11"/>
      <c r="P207" s="11"/>
      <c r="Q207" s="11"/>
      <c r="R207" s="11"/>
      <c r="S207" s="11"/>
      <c r="T207" s="11"/>
    </row>
    <row r="208" customFormat="false" ht="23.85" hidden="false" customHeight="false" outlineLevel="0" collapsed="false">
      <c r="A208" s="12" t="s">
        <v>1118</v>
      </c>
      <c r="B208" s="12" t="s">
        <v>1119</v>
      </c>
      <c r="C208" s="13" t="s">
        <v>95</v>
      </c>
      <c r="D208" s="12"/>
      <c r="E208" s="12" t="s">
        <v>1120</v>
      </c>
      <c r="F208" s="13" t="s">
        <v>83</v>
      </c>
      <c r="G208" s="13"/>
      <c r="H208" s="13"/>
      <c r="I208" s="13" t="s">
        <v>98</v>
      </c>
      <c r="J208" s="12"/>
      <c r="K208" s="12"/>
      <c r="L208" s="12" t="s">
        <v>1121</v>
      </c>
      <c r="M208" s="12" t="s">
        <v>499</v>
      </c>
      <c r="N208" s="12" t="s">
        <v>500</v>
      </c>
      <c r="O208" s="14" t="s">
        <v>106</v>
      </c>
      <c r="P208" s="12" t="s">
        <v>1122</v>
      </c>
      <c r="Q208" s="12" t="s">
        <v>1123</v>
      </c>
      <c r="R208" s="13" t="s">
        <v>168</v>
      </c>
      <c r="S208" s="12" t="s">
        <v>330</v>
      </c>
      <c r="T208" s="12" t="s">
        <v>331</v>
      </c>
    </row>
    <row r="209" customFormat="false" ht="23.85" hidden="false" customHeight="false" outlineLevel="0" collapsed="false">
      <c r="A209" s="12" t="s">
        <v>1118</v>
      </c>
      <c r="B209" s="12" t="s">
        <v>1124</v>
      </c>
      <c r="C209" s="13" t="s">
        <v>95</v>
      </c>
      <c r="D209" s="12"/>
      <c r="E209" s="12" t="s">
        <v>1125</v>
      </c>
      <c r="F209" s="13" t="s">
        <v>327</v>
      </c>
      <c r="G209" s="13"/>
      <c r="H209" s="13"/>
      <c r="I209" s="13" t="s">
        <v>99</v>
      </c>
      <c r="J209" s="12"/>
      <c r="K209" s="12"/>
      <c r="L209" s="12" t="s">
        <v>328</v>
      </c>
      <c r="M209" s="12" t="s">
        <v>499</v>
      </c>
      <c r="N209" s="12" t="s">
        <v>500</v>
      </c>
      <c r="O209" s="14" t="s">
        <v>106</v>
      </c>
      <c r="P209" s="12"/>
      <c r="Q209" s="12" t="s">
        <v>1126</v>
      </c>
      <c r="R209" s="13" t="s">
        <v>260</v>
      </c>
      <c r="S209" s="12" t="s">
        <v>330</v>
      </c>
      <c r="T209" s="12" t="s">
        <v>331</v>
      </c>
    </row>
    <row r="210" customFormat="false" ht="23.85" hidden="false" customHeight="false" outlineLevel="0" collapsed="false">
      <c r="A210" s="12" t="s">
        <v>1118</v>
      </c>
      <c r="B210" s="12" t="s">
        <v>1127</v>
      </c>
      <c r="C210" s="13" t="s">
        <v>95</v>
      </c>
      <c r="D210" s="12"/>
      <c r="E210" s="12" t="s">
        <v>1128</v>
      </c>
      <c r="F210" s="13" t="s">
        <v>327</v>
      </c>
      <c r="G210" s="13"/>
      <c r="H210" s="13"/>
      <c r="I210" s="13" t="s">
        <v>99</v>
      </c>
      <c r="J210" s="12"/>
      <c r="K210" s="12"/>
      <c r="L210" s="12" t="s">
        <v>417</v>
      </c>
      <c r="M210" s="12" t="s">
        <v>457</v>
      </c>
      <c r="N210" s="12" t="s">
        <v>458</v>
      </c>
      <c r="O210" s="14" t="s">
        <v>106</v>
      </c>
      <c r="P210" s="12"/>
      <c r="Q210" s="12" t="s">
        <v>1129</v>
      </c>
      <c r="R210" s="13" t="s">
        <v>260</v>
      </c>
      <c r="S210" s="12" t="s">
        <v>330</v>
      </c>
      <c r="T210" s="12" t="s">
        <v>331</v>
      </c>
    </row>
    <row r="211" customFormat="false" ht="23.85" hidden="false" customHeight="false" outlineLevel="0" collapsed="false">
      <c r="A211" s="12" t="s">
        <v>1118</v>
      </c>
      <c r="B211" s="12" t="s">
        <v>1130</v>
      </c>
      <c r="C211" s="13" t="s">
        <v>95</v>
      </c>
      <c r="D211" s="12"/>
      <c r="E211" s="12" t="s">
        <v>1131</v>
      </c>
      <c r="F211" s="13" t="s">
        <v>327</v>
      </c>
      <c r="G211" s="13" t="s">
        <v>99</v>
      </c>
      <c r="H211" s="13"/>
      <c r="I211" s="13"/>
      <c r="J211" s="12" t="s">
        <v>229</v>
      </c>
      <c r="K211" s="12"/>
      <c r="L211" s="12"/>
      <c r="M211" s="12" t="s">
        <v>164</v>
      </c>
      <c r="N211" s="12" t="s">
        <v>360</v>
      </c>
      <c r="O211" s="14" t="s">
        <v>106</v>
      </c>
      <c r="P211" s="12"/>
      <c r="Q211" s="12" t="s">
        <v>774</v>
      </c>
      <c r="R211" s="13" t="s">
        <v>260</v>
      </c>
      <c r="S211" s="12" t="s">
        <v>330</v>
      </c>
      <c r="T211" s="12" t="s">
        <v>331</v>
      </c>
    </row>
    <row r="212" customFormat="false" ht="23.85" hidden="false" customHeight="false" outlineLevel="0" collapsed="false">
      <c r="A212" s="12" t="s">
        <v>1118</v>
      </c>
      <c r="B212" s="12" t="s">
        <v>1132</v>
      </c>
      <c r="C212" s="13" t="s">
        <v>95</v>
      </c>
      <c r="D212" s="12"/>
      <c r="E212" s="12" t="s">
        <v>1133</v>
      </c>
      <c r="F212" s="13" t="s">
        <v>327</v>
      </c>
      <c r="G212" s="13" t="s">
        <v>99</v>
      </c>
      <c r="H212" s="13"/>
      <c r="I212" s="13"/>
      <c r="J212" s="12" t="s">
        <v>270</v>
      </c>
      <c r="K212" s="12"/>
      <c r="L212" s="12"/>
      <c r="M212" s="12" t="s">
        <v>499</v>
      </c>
      <c r="N212" s="12" t="s">
        <v>523</v>
      </c>
      <c r="O212" s="14" t="s">
        <v>106</v>
      </c>
      <c r="P212" s="12"/>
      <c r="Q212" s="12" t="s">
        <v>1134</v>
      </c>
      <c r="R212" s="13" t="s">
        <v>260</v>
      </c>
      <c r="S212" s="12" t="s">
        <v>330</v>
      </c>
      <c r="T212" s="12" t="s">
        <v>331</v>
      </c>
    </row>
    <row r="213" customFormat="false" ht="23.85" hidden="false" customHeight="false" outlineLevel="0" collapsed="false">
      <c r="A213" s="12" t="s">
        <v>1118</v>
      </c>
      <c r="B213" s="12" t="s">
        <v>1135</v>
      </c>
      <c r="C213" s="13" t="s">
        <v>95</v>
      </c>
      <c r="D213" s="12"/>
      <c r="E213" s="12" t="s">
        <v>1136</v>
      </c>
      <c r="F213" s="13" t="s">
        <v>327</v>
      </c>
      <c r="G213" s="13"/>
      <c r="H213" s="13" t="s">
        <v>99</v>
      </c>
      <c r="I213" s="13"/>
      <c r="J213" s="12"/>
      <c r="K213" s="12" t="s">
        <v>844</v>
      </c>
      <c r="L213" s="12"/>
      <c r="M213" s="12" t="s">
        <v>244</v>
      </c>
      <c r="N213" s="12" t="s">
        <v>244</v>
      </c>
      <c r="O213" s="14" t="s">
        <v>106</v>
      </c>
      <c r="P213" s="12"/>
      <c r="Q213" s="12" t="s">
        <v>1137</v>
      </c>
      <c r="R213" s="13" t="s">
        <v>260</v>
      </c>
      <c r="S213" s="12" t="s">
        <v>330</v>
      </c>
      <c r="T213" s="12" t="s">
        <v>331</v>
      </c>
    </row>
    <row r="214" customFormat="false" ht="39.55" hidden="false" customHeight="false" outlineLevel="0" collapsed="false">
      <c r="A214" s="11" t="s">
        <v>1138</v>
      </c>
      <c r="B214" s="11"/>
      <c r="C214" s="11"/>
      <c r="D214" s="11"/>
      <c r="E214" s="11"/>
      <c r="F214" s="11"/>
      <c r="G214" s="11"/>
      <c r="H214" s="11"/>
      <c r="I214" s="11"/>
      <c r="J214" s="11"/>
      <c r="K214" s="11"/>
      <c r="L214" s="11"/>
      <c r="M214" s="11"/>
      <c r="N214" s="11"/>
      <c r="O214" s="11"/>
      <c r="P214" s="11"/>
      <c r="Q214" s="11"/>
      <c r="R214" s="11"/>
      <c r="S214" s="11"/>
      <c r="T214" s="11"/>
    </row>
    <row r="215" customFormat="false" ht="68.65" hidden="false" customHeight="false" outlineLevel="0" collapsed="false">
      <c r="A215" s="12" t="s">
        <v>1138</v>
      </c>
      <c r="B215" s="12" t="s">
        <v>1139</v>
      </c>
      <c r="C215" s="13" t="s">
        <v>95</v>
      </c>
      <c r="D215" s="12"/>
      <c r="E215" s="12" t="s">
        <v>1140</v>
      </c>
      <c r="F215" s="13" t="s">
        <v>1141</v>
      </c>
      <c r="G215" s="13" t="s">
        <v>98</v>
      </c>
      <c r="H215" s="13" t="s">
        <v>98</v>
      </c>
      <c r="I215" s="13" t="s">
        <v>98</v>
      </c>
      <c r="J215" s="12" t="s">
        <v>1142</v>
      </c>
      <c r="K215" s="12" t="s">
        <v>1142</v>
      </c>
      <c r="L215" s="12" t="s">
        <v>1142</v>
      </c>
      <c r="M215" s="12" t="s">
        <v>244</v>
      </c>
      <c r="N215" s="12" t="s">
        <v>244</v>
      </c>
      <c r="O215" s="13" t="s">
        <v>244</v>
      </c>
      <c r="P215" s="12"/>
      <c r="Q215" s="12" t="s">
        <v>1143</v>
      </c>
      <c r="R215" s="13" t="s">
        <v>109</v>
      </c>
      <c r="S215" s="12" t="s">
        <v>1144</v>
      </c>
      <c r="T215" s="15" t="s">
        <v>1032</v>
      </c>
    </row>
    <row r="216" customFormat="false" ht="23.85" hidden="false" customHeight="false" outlineLevel="0" collapsed="false">
      <c r="A216" s="12" t="s">
        <v>1138</v>
      </c>
      <c r="B216" s="12" t="s">
        <v>1145</v>
      </c>
      <c r="C216" s="13" t="s">
        <v>95</v>
      </c>
      <c r="D216" s="12"/>
      <c r="E216" s="12" t="s">
        <v>1146</v>
      </c>
      <c r="F216" s="13" t="s">
        <v>327</v>
      </c>
      <c r="G216" s="13" t="s">
        <v>99</v>
      </c>
      <c r="H216" s="13" t="s">
        <v>99</v>
      </c>
      <c r="I216" s="13" t="s">
        <v>99</v>
      </c>
      <c r="J216" s="12" t="s">
        <v>960</v>
      </c>
      <c r="K216" s="12"/>
      <c r="L216" s="12" t="s">
        <v>960</v>
      </c>
      <c r="M216" s="12" t="s">
        <v>244</v>
      </c>
      <c r="N216" s="12" t="s">
        <v>244</v>
      </c>
      <c r="O216" s="13" t="s">
        <v>244</v>
      </c>
      <c r="P216" s="12"/>
      <c r="Q216" s="12" t="s">
        <v>1147</v>
      </c>
      <c r="R216" s="13" t="s">
        <v>168</v>
      </c>
      <c r="S216" s="12" t="s">
        <v>330</v>
      </c>
      <c r="T216" s="12" t="s">
        <v>331</v>
      </c>
    </row>
    <row r="217" customFormat="false" ht="23.85" hidden="false" customHeight="false" outlineLevel="0" collapsed="false">
      <c r="A217" s="12" t="s">
        <v>1138</v>
      </c>
      <c r="B217" s="12" t="s">
        <v>1148</v>
      </c>
      <c r="C217" s="13" t="s">
        <v>95</v>
      </c>
      <c r="D217" s="12"/>
      <c r="E217" s="12" t="s">
        <v>1149</v>
      </c>
      <c r="F217" s="13" t="s">
        <v>327</v>
      </c>
      <c r="G217" s="13" t="s">
        <v>99</v>
      </c>
      <c r="H217" s="13"/>
      <c r="I217" s="13" t="s">
        <v>99</v>
      </c>
      <c r="J217" s="12" t="s">
        <v>229</v>
      </c>
      <c r="K217" s="12"/>
      <c r="L217" s="12" t="s">
        <v>229</v>
      </c>
      <c r="M217" s="12" t="s">
        <v>244</v>
      </c>
      <c r="N217" s="12" t="s">
        <v>244</v>
      </c>
      <c r="O217" s="13" t="s">
        <v>244</v>
      </c>
      <c r="P217" s="12"/>
      <c r="Q217" s="12" t="s">
        <v>1150</v>
      </c>
      <c r="R217" s="13" t="s">
        <v>260</v>
      </c>
      <c r="S217" s="12" t="s">
        <v>330</v>
      </c>
      <c r="T217" s="12" t="s">
        <v>331</v>
      </c>
    </row>
    <row r="218" customFormat="false" ht="35.05" hidden="false" customHeight="false" outlineLevel="0" collapsed="false">
      <c r="A218" s="12" t="s">
        <v>1138</v>
      </c>
      <c r="B218" s="12" t="s">
        <v>1151</v>
      </c>
      <c r="C218" s="13" t="s">
        <v>95</v>
      </c>
      <c r="D218" s="12"/>
      <c r="E218" s="12" t="s">
        <v>1152</v>
      </c>
      <c r="F218" s="13" t="s">
        <v>327</v>
      </c>
      <c r="G218" s="13" t="s">
        <v>99</v>
      </c>
      <c r="H218" s="13" t="s">
        <v>99</v>
      </c>
      <c r="I218" s="13" t="s">
        <v>99</v>
      </c>
      <c r="J218" s="12" t="s">
        <v>1153</v>
      </c>
      <c r="K218" s="12" t="s">
        <v>503</v>
      </c>
      <c r="L218" s="12" t="s">
        <v>503</v>
      </c>
      <c r="M218" s="12" t="s">
        <v>244</v>
      </c>
      <c r="N218" s="12" t="s">
        <v>244</v>
      </c>
      <c r="O218" s="13" t="s">
        <v>244</v>
      </c>
      <c r="P218" s="12"/>
      <c r="Q218" s="12" t="s">
        <v>1154</v>
      </c>
      <c r="R218" s="13" t="s">
        <v>109</v>
      </c>
      <c r="S218" s="12" t="s">
        <v>330</v>
      </c>
      <c r="T218" s="12" t="s">
        <v>331</v>
      </c>
    </row>
    <row r="219" customFormat="false" ht="23.85" hidden="false" customHeight="false" outlineLevel="0" collapsed="false">
      <c r="A219" s="12" t="s">
        <v>1138</v>
      </c>
      <c r="B219" s="12" t="s">
        <v>1155</v>
      </c>
      <c r="C219" s="13" t="s">
        <v>95</v>
      </c>
      <c r="D219" s="12"/>
      <c r="E219" s="12" t="s">
        <v>573</v>
      </c>
      <c r="F219" s="13" t="s">
        <v>321</v>
      </c>
      <c r="G219" s="13"/>
      <c r="H219" s="13"/>
      <c r="I219" s="13"/>
      <c r="J219" s="12" t="s">
        <v>1156</v>
      </c>
      <c r="K219" s="12"/>
      <c r="L219" s="12" t="s">
        <v>1156</v>
      </c>
      <c r="M219" s="12" t="s">
        <v>244</v>
      </c>
      <c r="N219" s="12" t="s">
        <v>244</v>
      </c>
      <c r="O219" s="13" t="s">
        <v>244</v>
      </c>
      <c r="P219" s="12"/>
      <c r="Q219" s="12" t="s">
        <v>1157</v>
      </c>
      <c r="R219" s="13" t="s">
        <v>168</v>
      </c>
      <c r="S219" s="12" t="s">
        <v>330</v>
      </c>
      <c r="T219" s="12" t="s">
        <v>331</v>
      </c>
    </row>
    <row r="220" customFormat="false" ht="26.85" hidden="false" customHeight="false" outlineLevel="0" collapsed="false">
      <c r="A220" s="11" t="s">
        <v>1158</v>
      </c>
      <c r="B220" s="11"/>
      <c r="C220" s="11"/>
      <c r="D220" s="11"/>
      <c r="E220" s="11"/>
      <c r="F220" s="11"/>
      <c r="G220" s="11"/>
      <c r="H220" s="11"/>
      <c r="I220" s="11"/>
      <c r="J220" s="11"/>
      <c r="K220" s="11"/>
      <c r="L220" s="11"/>
      <c r="M220" s="11"/>
      <c r="N220" s="11"/>
      <c r="O220" s="11"/>
      <c r="P220" s="11"/>
      <c r="Q220" s="11"/>
      <c r="R220" s="11"/>
      <c r="S220" s="11"/>
      <c r="T220" s="11"/>
    </row>
    <row r="221" customFormat="false" ht="23.85" hidden="false" customHeight="false" outlineLevel="0" collapsed="false">
      <c r="A221" s="12" t="s">
        <v>1158</v>
      </c>
      <c r="B221" s="12" t="s">
        <v>1159</v>
      </c>
      <c r="C221" s="13" t="s">
        <v>95</v>
      </c>
      <c r="D221" s="12"/>
      <c r="E221" s="12" t="s">
        <v>1160</v>
      </c>
      <c r="F221" s="13" t="s">
        <v>327</v>
      </c>
      <c r="G221" s="13" t="s">
        <v>99</v>
      </c>
      <c r="H221" s="13"/>
      <c r="I221" s="13"/>
      <c r="J221" s="12" t="s">
        <v>1161</v>
      </c>
      <c r="K221" s="12"/>
      <c r="L221" s="12"/>
      <c r="M221" s="12" t="s">
        <v>244</v>
      </c>
      <c r="N221" s="12" t="s">
        <v>244</v>
      </c>
      <c r="O221" s="13" t="s">
        <v>244</v>
      </c>
      <c r="P221" s="12"/>
      <c r="Q221" s="12" t="s">
        <v>1162</v>
      </c>
      <c r="R221" s="13" t="s">
        <v>260</v>
      </c>
      <c r="S221" s="12" t="s">
        <v>330</v>
      </c>
      <c r="T221" s="12" t="s">
        <v>331</v>
      </c>
    </row>
    <row r="222" customFormat="false" ht="23.85" hidden="false" customHeight="false" outlineLevel="0" collapsed="false">
      <c r="A222" s="12" t="s">
        <v>1158</v>
      </c>
      <c r="B222" s="12" t="s">
        <v>1163</v>
      </c>
      <c r="C222" s="13" t="s">
        <v>95</v>
      </c>
      <c r="D222" s="12"/>
      <c r="E222" s="12" t="s">
        <v>1164</v>
      </c>
      <c r="F222" s="13" t="s">
        <v>327</v>
      </c>
      <c r="G222" s="13"/>
      <c r="H222" s="13" t="s">
        <v>99</v>
      </c>
      <c r="I222" s="13"/>
      <c r="J222" s="12"/>
      <c r="K222" s="12" t="s">
        <v>1165</v>
      </c>
      <c r="L222" s="12"/>
      <c r="M222" s="12" t="s">
        <v>244</v>
      </c>
      <c r="N222" s="12" t="s">
        <v>1166</v>
      </c>
      <c r="O222" s="13" t="s">
        <v>244</v>
      </c>
      <c r="P222" s="12"/>
      <c r="Q222" s="12" t="s">
        <v>1167</v>
      </c>
      <c r="R222" s="13" t="s">
        <v>260</v>
      </c>
      <c r="S222" s="12" t="s">
        <v>330</v>
      </c>
      <c r="T222" s="12" t="s">
        <v>331</v>
      </c>
    </row>
    <row r="223" customFormat="false" ht="23.85" hidden="false" customHeight="false" outlineLevel="0" collapsed="false">
      <c r="A223" s="12" t="s">
        <v>1158</v>
      </c>
      <c r="B223" s="12" t="s">
        <v>1168</v>
      </c>
      <c r="C223" s="13" t="s">
        <v>95</v>
      </c>
      <c r="D223" s="12"/>
      <c r="E223" s="12" t="s">
        <v>1169</v>
      </c>
      <c r="F223" s="13" t="s">
        <v>327</v>
      </c>
      <c r="G223" s="13"/>
      <c r="H223" s="13"/>
      <c r="I223" s="13" t="s">
        <v>99</v>
      </c>
      <c r="J223" s="12"/>
      <c r="K223" s="12"/>
      <c r="L223" s="12" t="s">
        <v>777</v>
      </c>
      <c r="M223" s="12" t="s">
        <v>244</v>
      </c>
      <c r="N223" s="12" t="s">
        <v>244</v>
      </c>
      <c r="O223" s="13" t="s">
        <v>244</v>
      </c>
      <c r="P223" s="12"/>
      <c r="Q223" s="12" t="s">
        <v>1170</v>
      </c>
      <c r="R223" s="13" t="s">
        <v>260</v>
      </c>
      <c r="S223" s="12" t="s">
        <v>330</v>
      </c>
      <c r="T223" s="12" t="s">
        <v>331</v>
      </c>
    </row>
    <row r="224" customFormat="false" ht="46.25" hidden="false" customHeight="false" outlineLevel="0" collapsed="false">
      <c r="A224" s="12" t="s">
        <v>1158</v>
      </c>
      <c r="B224" s="12" t="s">
        <v>1171</v>
      </c>
      <c r="C224" s="13" t="s">
        <v>95</v>
      </c>
      <c r="D224" s="12"/>
      <c r="E224" s="12" t="s">
        <v>1172</v>
      </c>
      <c r="F224" s="13" t="s">
        <v>321</v>
      </c>
      <c r="G224" s="13"/>
      <c r="H224" s="13"/>
      <c r="I224" s="13"/>
      <c r="J224" s="12"/>
      <c r="K224" s="12" t="s">
        <v>1173</v>
      </c>
      <c r="L224" s="12" t="s">
        <v>1174</v>
      </c>
      <c r="M224" s="12" t="s">
        <v>244</v>
      </c>
      <c r="N224" s="12" t="s">
        <v>244</v>
      </c>
      <c r="O224" s="13" t="s">
        <v>244</v>
      </c>
      <c r="P224" s="12"/>
      <c r="Q224" s="12" t="s">
        <v>1175</v>
      </c>
      <c r="R224" s="13" t="s">
        <v>260</v>
      </c>
      <c r="S224" s="12" t="s">
        <v>330</v>
      </c>
      <c r="T224" s="12" t="s">
        <v>331</v>
      </c>
    </row>
  </sheetData>
  <autoFilter ref="A1:T224"/>
  <hyperlinks>
    <hyperlink ref="T3" r:id="rId1" display="Doctor of Credit: Which Credit Bureau Does Each Card Issuer Pull?"/>
    <hyperlink ref="T4" r:id="rId2" display="Doctor of Credit: What Credit Bureau Does American Express Pull?"/>
    <hyperlink ref="T5" r:id="rId3" display="Doctor of Credit: What Credit Bureau Does Citibank Pull?"/>
    <hyperlink ref="T6" r:id="rId4" display="Doctor of Credit: What Credit Bureau Does Bank of America Pull?"/>
    <hyperlink ref="T7" r:id="rId5" display="Doctor of Credit: Which Credit Bureau Does Each Card Issuer Pull?"/>
    <hyperlink ref="T8" r:id="rId6" display="myFICO Forums: Which Report Will They Pull, Part 2 (state grid, as of 07/09/23)"/>
    <hyperlink ref="T9" r:id="rId7" display="Doctor of Credit: What Credit Bureau Does U.S. Bank Pull?"/>
    <hyperlink ref="T10" r:id="rId8" display="Doctor of Credit: What Credit Bureau Does Wells Fargo Pull?"/>
    <hyperlink ref="T11" r:id="rId9" display="Doctor of Credit: What Credit Bureau Does Wells Fargo Pull?"/>
    <hyperlink ref="T12" r:id="rId10" display="Doctor of Credit: Which Credit Bureau Does Each Card Issuer Pull?"/>
    <hyperlink ref="T13" r:id="rId11" display="myFICO Forums: Which Report Will They Pull, Part 2 (state grid, as of 07/09/23)"/>
    <hyperlink ref="T14" r:id="rId12" display="myFICO Forums: Which Report Will They Pull, Part 2 (state grid, as of 07/09/23)"/>
    <hyperlink ref="T16" r:id="rId13" display="myFICO Forums: Which Report Will They Pull, Part 2 (state grid, as of 07/09/23)"/>
    <hyperlink ref="T17" r:id="rId14" display="myFICO Forums: Which Report Will They Pull, Part 2 (state grid, as of 07/09/23)"/>
    <hyperlink ref="T18" r:id="rId15" display="myFICO Forums: Which Report Will They Pull, Part 2 (state grid, as of 07/09/23)"/>
    <hyperlink ref="T19" r:id="rId16" display="myFICO Forums: Which Report Will They Pull, Part 2 (state grid, as of 07/09/23)"/>
    <hyperlink ref="T20" r:id="rId17" display="myFICO Forums: Which Report Will They Pull, Part 2 (state grid, as of 07/09/23)"/>
    <hyperlink ref="T21" r:id="rId18" display="myFICO Forums: Which Report Will They Pull, Part 2 (state grid, as of 07/09/23)"/>
    <hyperlink ref="T22" r:id="rId19" display="CardRight: List Of Which Credit Bureau Each Bank Pulls"/>
    <hyperlink ref="T23" r:id="rId20" display="myFICO Forums: Which Report Will They Pull, Part 2 (state grid, as of 07/09/23)"/>
    <hyperlink ref="T24" r:id="rId21" display="myFICO Forums: Which Report Will They Pull, Part 2 (state grid, as of 07/09/23)"/>
    <hyperlink ref="T25" r:id="rId22" display="myFICO Forums: Which Report Will They Pull, Part 2 (state grid, as of 07/09/23)"/>
    <hyperlink ref="T26" r:id="rId23" display="myFICO Forums: Which Report Will They Pull, Part 2 (state grid, as of 07/09/23)"/>
    <hyperlink ref="T27" r:id="rId24" display="myFICO Forums: Which Report Will They Pull, Part 2 (state grid, as of 07/09/23)"/>
    <hyperlink ref="T28" r:id="rId25" display="myFICO Forums: Which Report Will They Pull, Part 2 (state grid, as of 07/09/23)"/>
    <hyperlink ref="T29" r:id="rId26" display="myFICO Forums: Which Report Will They Pull, Part 2 (state grid, as of 07/09/23)"/>
    <hyperlink ref="T30" r:id="rId27" display="myFICO Forums: Which Report Will They Pull, Part 2 (state grid, as of 07/09/23)"/>
    <hyperlink ref="T31" r:id="rId28" display="Stacking Capital: Complete Guide to 0% Interest Business Funding"/>
    <hyperlink ref="T37" r:id="rId29" display="myFICO Forums: Which Report Will They Pull, Part 2 (state grid, as of 07/09/23)"/>
    <hyperlink ref="T38" r:id="rId30" display="myFICO Forums: Which Report Will They Pull, Part 2 (state grid, as of 07/09/23)"/>
    <hyperlink ref="T39" r:id="rId31" display="myFICO Forums: Which Report Will They Pull, Part 2 (state grid, as of 07/09/23)"/>
    <hyperlink ref="T40" r:id="rId32" display="myFICO Forums: Which Report Will They Pull, Part 2 (state grid, as of 07/09/23)"/>
    <hyperlink ref="T41" r:id="rId33" display="myFICO Forums: Which Report Will They Pull, Part 2 (state grid, as of 07/09/23)"/>
    <hyperlink ref="T42" r:id="rId34" display="myFICO Forums: Which Report Will They Pull, Part 2 (state grid, as of 07/09/23)"/>
    <hyperlink ref="T43" r:id="rId35" display="myFICO Forums: Which Report Will They Pull, Part 2 (state grid, as of 07/09/23)"/>
    <hyperlink ref="T46" r:id="rId36" display="myFICO Forums: Which Report Will They Pull, Part 2 (state grid, as of 07/09/23)"/>
    <hyperlink ref="T47" r:id="rId37" display="myFICO Forums: Which Report Will They Pull, Part 2 (state grid, as of 07/09/23)"/>
    <hyperlink ref="T48" r:id="rId38" display="myFICO Forums: Good credit union that pulls Equifax"/>
    <hyperlink ref="T49" r:id="rId39" display="myFICO Forums: Which Report Will They Pull, Part 2 (state grid, as of 07/09/23)"/>
    <hyperlink ref="T50" r:id="rId40" display="myFICO Forums: Which Report Will They Pull, Part 2 (state grid, as of 07/09/23)"/>
    <hyperlink ref="T54" r:id="rId41" display="myFICO Forums: Which Report Will They Pull, Part 2 (state grid, as of 07/09/23)"/>
    <hyperlink ref="T55" r:id="rId42" display="myFICO Forums: Which Report Will They Pull, Part 2 (state grid, as of 07/09/23)"/>
    <hyperlink ref="T56" r:id="rId43" display="myFICO Forums: Which Report Will They Pull, Part 2 (state grid, as of 07/09/23)"/>
    <hyperlink ref="T57" r:id="rId44" display="myFICO Forums: Which Report Will They Pull, Part 2 (state grid, as of 07/09/23)"/>
    <hyperlink ref="T58" r:id="rId45" display="myFICO Forums: Which Report Will They Pull, Part 2 (state grid, as of 07/09/23)"/>
    <hyperlink ref="T59" r:id="rId46" display="myFICO Forums: Which Report Will They Pull, Part 2 (state grid, as of 07/09/23)"/>
    <hyperlink ref="T60" r:id="rId47" display="myFICO Forums: What credit unions use TransUnion for credit cards / PLOCs"/>
    <hyperlink ref="T61" r:id="rId48" display="myFICO Forums: Which Report Will They Pull, Part 2 (state grid, as of 07/09/23)"/>
    <hyperlink ref="T62" r:id="rId49" display="myFICO Forums: Which Report Will They Pull, Part 2 (state grid, as of 07/09/23)"/>
    <hyperlink ref="T63" r:id="rId50" display="myFICO Forums: Which Report Will They Pull, Part 2 (state grid, as of 07/09/23)"/>
    <hyperlink ref="T65" r:id="rId51" display="myFICO Forums: Which Report Will They Pull, Part 2 (state grid, as of 07/09/23)"/>
    <hyperlink ref="T66" r:id="rId52" display="myFICO Forums: Which Report Will They Pull, Part 2 (state grid, as of 07/09/23)"/>
    <hyperlink ref="T67" r:id="rId53" display="myFICO Forums: Which Report Will They Pull, Part 2 (state grid, as of 07/09/23)"/>
    <hyperlink ref="T68" r:id="rId54" display="myFICO Forums: Which Report Will They Pull, Part 2 (state grid, as of 07/09/23)"/>
    <hyperlink ref="T69" r:id="rId55" display="myFICO Forums: Which Report Will They Pull, Part 2 (state grid, as of 07/09/23)"/>
    <hyperlink ref="T72" r:id="rId56" display="myFICO Forums: Which Report Will They Pull, Part 2 (state grid, as of 07/09/23)"/>
    <hyperlink ref="T74" r:id="rId57" display="myFICO Forums: Which Report Will They Pull, Part 2 (state grid, as of 07/09/23)"/>
    <hyperlink ref="T76" r:id="rId58" display="myFICO Forums: Which Report Will They Pull, Part 2 (state grid, as of 07/09/23)"/>
    <hyperlink ref="T77" r:id="rId59" display="myFICO Forums: Which Report Will They Pull, Part 2 (state grid, as of 07/09/23)"/>
    <hyperlink ref="T78" r:id="rId60" display="myFICO Forums: Which Report Will They Pull, Part 2 (state grid, as of 07/09/23)"/>
    <hyperlink ref="T79" r:id="rId61" display="myFICO Forums: Which Report Will They Pull, Part 2 (state grid, as of 07/09/23)"/>
    <hyperlink ref="T80" r:id="rId62" display="NerdWallet: Best Credit Cards to Build Credit"/>
    <hyperlink ref="T81" r:id="rId63" display="NerdWallet: Best Credit Cards to Build Credit"/>
    <hyperlink ref="T82" r:id="rId64" display="NerdWallet: Best Credit Cards to Build Credit"/>
    <hyperlink ref="T83" r:id="rId65" display="NerdWallet: Best Credit Cards to Build Credit"/>
    <hyperlink ref="T84" r:id="rId66" display="NerdWallet: Best Credit Cards to Build Credit"/>
    <hyperlink ref="T85" r:id="rId67" display="NerdWallet: Best Credit Cards to Build Credit"/>
    <hyperlink ref="T86" r:id="rId68" display="NerdWallet: Best Credit Cards to Build Credit"/>
    <hyperlink ref="T89" r:id="rId69" display="NerdWallet: Best Business Credit Cards With No Personal Credit Check"/>
    <hyperlink ref="T90" r:id="rId70" display="Doctor of Credit: All You Need to Know about Credit Reporting on Business Cards"/>
    <hyperlink ref="T91" r:id="rId71" display="NerdWallet: Best Business Credit Cards With No Personal Credit Check"/>
    <hyperlink ref="T92" r:id="rId72" display="NerdWallet: Best Business Credit Cards With No Personal Credit Check"/>
    <hyperlink ref="T94" r:id="rId73" display="Doctor of Credit: All You Need to Know about Credit Reporting on Business Cards"/>
    <hyperlink ref="T95" r:id="rId74" display="NerdWallet: Best Business Credit Cards With No Personal Credit Check"/>
    <hyperlink ref="T97" r:id="rId75" display="LendingTree: Best No-Doc and Low-Doc Business Loans"/>
    <hyperlink ref="T98" r:id="rId76" display="LendingTree: Best No-Doc and Low-Doc Business Loans"/>
    <hyperlink ref="T99" r:id="rId77" display="NerdWallet: Best Business Lines of Credit"/>
    <hyperlink ref="T100" r:id="rId78" display="NerdWallet: Best Startup Business Lines of Credit"/>
    <hyperlink ref="T101" r:id="rId79" display="Bankrate: American Express Business Line of Credit review"/>
    <hyperlink ref="T102" r:id="rId80" display="NerdWallet: Best Business Lines of Credit"/>
    <hyperlink ref="T103" r:id="rId81" display="LendingTree: Best No-Doc and Low-Doc Business Loans"/>
    <hyperlink ref="T104" r:id="rId82" display="NerdWallet: Best Business Loans for Bad Credit"/>
    <hyperlink ref="T105" r:id="rId83" display="Bankrate: Best Equipment Business Loans"/>
    <hyperlink ref="T106" r:id="rId84" display="Bankrate: Best Equipment Business Loans"/>
    <hyperlink ref="T108" r:id="rId85" display="Bankrate: Best Equipment Business Loans"/>
    <hyperlink ref="T110" r:id="rId86" display="NerdWallet: Best Merchant Cash Advance Companies"/>
    <hyperlink ref="T111" r:id="rId87" display="NerdWallet: Best Merchant Cash Advance Companies"/>
    <hyperlink ref="T112" r:id="rId88" display="NerdWallet: Best Business Loans for Bad Credit"/>
    <hyperlink ref="T113" r:id="rId89" display="NerdWallet: Best Merchant Cash Advance Companies"/>
    <hyperlink ref="T114" r:id="rId90" display="NerdWallet: Best Merchant Cash Advance Companies"/>
    <hyperlink ref="T116" r:id="rId91" display="LendingTree: Best No-Doc and Low-Doc Business Loans"/>
    <hyperlink ref="T117" r:id="rId92" display="LendingTree: Best Invoice Factoring Companies"/>
    <hyperlink ref="T118" r:id="rId93" display="LendingTree: Best Invoice Factoring Companies"/>
    <hyperlink ref="T119" r:id="rId94" display="LendingTree: Best Invoice Factoring Companies"/>
    <hyperlink ref="T121" r:id="rId95" display="LendingTree: Best No-Doc and Low-Doc Business Loans"/>
    <hyperlink ref="T122" r:id="rId96" display="Bankrate: Best Equipment Business Loans"/>
    <hyperlink ref="T123" r:id="rId97" display="Bankrate: Best Equipment Business Loans"/>
    <hyperlink ref="T124" r:id="rId98" display="Bankrate: Best Equipment Business Loans"/>
    <hyperlink ref="T125" r:id="rId99" display="Bankrate: Best Equipment Business Loans"/>
    <hyperlink ref="T126" r:id="rId100" display="NerdWallet: Best Business Loans for Bad Credit"/>
    <hyperlink ref="T132" r:id="rId101" display="NAGGL: SBA notice sunsetting SBSS scoring for 7(a) Small Loans"/>
    <hyperlink ref="T133" r:id="rId102" display="NerdWallet: Best Business Lines of Credit"/>
    <hyperlink ref="T134" r:id="rId103" display="LendingTree: Best Business Microloans"/>
    <hyperlink ref="T136" r:id="rId104" display="LendingTree: Best Business Microloans"/>
    <hyperlink ref="T137" r:id="rId105" display="LendingTree: Best Business Microloans"/>
    <hyperlink ref="T138" r:id="rId106" display="LendingTree: Best Business Microloans"/>
    <hyperlink ref="T139" r:id="rId107" display="LendingTree: Best Business Microloans"/>
    <hyperlink ref="T140" r:id="rId108" display="LendingTree: Best Business Microloans"/>
    <hyperlink ref="T141" r:id="rId109" display="LendingTree: Best Business Microloans"/>
    <hyperlink ref="T143" r:id="rId110" display="myFICO Forums: Which Report Will They Pull, Part 2 (state grid, as of 07/09/23)"/>
    <hyperlink ref="T144" r:id="rId111" display="NerdWallet: Best Personal Loan Lenders"/>
    <hyperlink ref="T145" r:id="rId112" display="myFICO Forums: List of personal loan lenders with preapproval links"/>
    <hyperlink ref="T146" r:id="rId113" display="myFICO Forums: List of personal loan lenders with preapproval links"/>
    <hyperlink ref="T147" r:id="rId114" display="myFICO Forums: List of personal loan lenders with preapproval links"/>
    <hyperlink ref="T148" r:id="rId115" display="myFICO Forums: List of personal loan lenders with preapproval links"/>
    <hyperlink ref="T149" r:id="rId116" display="myFICO Forums: List of personal loan lenders with preapproval links"/>
    <hyperlink ref="T150" r:id="rId117" display="NerdWallet: Best Personal Loan Lenders"/>
    <hyperlink ref="T151" r:id="rId118" display="NerdWallet: Best Personal Loan Lenders"/>
    <hyperlink ref="T152" r:id="rId119" display="myFICO Forums: List of personal loan lenders with preapproval links"/>
    <hyperlink ref="T153" r:id="rId120" display="myFICO Forums: List of personal loan lenders with preapproval links"/>
    <hyperlink ref="T154" r:id="rId121" display="Financer: What Credit Score Is Needed for a Personal Loan?"/>
    <hyperlink ref="T156" r:id="rId122" display="Finder: Best Personal Loans for Bad Credit"/>
    <hyperlink ref="T157" r:id="rId123" display="Financer: What Credit Score Is Needed for a Personal Loan?"/>
    <hyperlink ref="T159" r:id="rId124" display="Finder: Best Personal Loans for Bad Credit"/>
    <hyperlink ref="T160" r:id="rId125" display="Finder: Best Personal Loans for Bad Credit"/>
    <hyperlink ref="T161" r:id="rId126" display="Finder: Best Personal Loans for Bad Credit"/>
    <hyperlink ref="T163" r:id="rId127" display="Crediful: Best Auto Loans for Bad Credit"/>
    <hyperlink ref="T164" r:id="rId128" display="myFICO Forums: Which Report Will They Pull, Part 2 (state grid, as of 07/09/23)"/>
    <hyperlink ref="T183" r:id="rId129" display="Crediful: Best Auto Loans for Bad Credit"/>
    <hyperlink ref="T184" r:id="rId130" display="Crediful: Best Auto Loans for Bad Credit"/>
    <hyperlink ref="T185" r:id="rId131" display="SoFi: Which Credit Bureau Is Used Most for Auto Loans?"/>
    <hyperlink ref="T187" r:id="rId132" display="National Mortgage Professional: FHFA opens VantageScore to all GSE lenders"/>
    <hyperlink ref="T188" r:id="rId133" display="National Mortgage Professional: FHFA opens VantageScore to all GSE lenders"/>
    <hyperlink ref="T189" r:id="rId134" display="New Silver: Best DSCR Lenders"/>
    <hyperlink ref="T192" r:id="rId135" display="New Silver: Best DSCR Lenders"/>
    <hyperlink ref="T193" r:id="rId136" display="The Close: 6 Best Fix and Flip Loans in 2026"/>
    <hyperlink ref="T194" r:id="rId137" display="New Silver: Best DSCR Lenders"/>
    <hyperlink ref="T195" r:id="rId138" display="New Silver: Best DSCR Lenders"/>
    <hyperlink ref="T196" r:id="rId139" display="New Silver: Best DSCR Lenders"/>
    <hyperlink ref="T199" r:id="rId140" display="Startup Savant: 23 Best Net 30 Accounts to Build Business Credit"/>
    <hyperlink ref="T200" r:id="rId141" display="Startup Savant: 23 Best Net 30 Accounts to Build Business Credit"/>
    <hyperlink ref="T201" r:id="rId142" display="Startup Savant: 23 Best Net 30 Accounts to Build Business Credit"/>
    <hyperlink ref="T202" r:id="rId143" display="Startup Savant: 23 Best Net 30 Accounts to Build Business Credit"/>
    <hyperlink ref="T203" r:id="rId144" display="Startup Savant: 23 Best Net 30 Accounts to Build Business Credit"/>
    <hyperlink ref="T204" r:id="rId145" display="Startup Savant: 23 Best Net 30 Accounts to Build Business Credit"/>
    <hyperlink ref="T205" r:id="rId146" display="Startup Savant: 23 Best Net 30 Accounts to Build Business Credit"/>
    <hyperlink ref="T206" r:id="rId147" display="Startup Savant: 23 Best Net 30 Accounts to Build Business Credit"/>
    <hyperlink ref="T215" r:id="rId148" display="National Mortgage Professional: FHFA opens VantageScore to all GSE lend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4" min="3" style="0" width="10"/>
    <col collapsed="false" customWidth="true" hidden="false" outlineLevel="0" max="5" min="5" style="0" width="11"/>
    <col collapsed="false" customWidth="true" hidden="false" outlineLevel="0" max="6" min="6" style="0" width="36"/>
    <col collapsed="false" customWidth="true" hidden="false" outlineLevel="0" max="7" min="7" style="0" width="26"/>
    <col collapsed="false" customWidth="true" hidden="false" outlineLevel="0" max="8" min="8" style="0" width="36"/>
    <col collapsed="false" customWidth="true" hidden="false" outlineLevel="0" max="9" min="9" style="0" width="16"/>
    <col collapsed="false" customWidth="true" hidden="false" outlineLevel="0" max="10" min="10" style="0" width="10"/>
    <col collapsed="false" customWidth="true" hidden="false" outlineLevel="0" max="11" min="11" style="0" width="26"/>
    <col collapsed="false" customWidth="true" hidden="false" outlineLevel="0" max="13" min="12" style="0" width="44"/>
    <col collapsed="false" customWidth="true" hidden="false" outlineLevel="0" max="14" min="14" style="0" width="30"/>
  </cols>
  <sheetData>
    <row r="1" customFormat="false" ht="31.5" hidden="false" customHeight="true" outlineLevel="0" collapsed="false">
      <c r="A1" s="10" t="s">
        <v>1176</v>
      </c>
      <c r="B1" s="10" t="s">
        <v>1177</v>
      </c>
      <c r="C1" s="10" t="s">
        <v>81</v>
      </c>
      <c r="D1" s="10" t="s">
        <v>82</v>
      </c>
      <c r="E1" s="10" t="s">
        <v>1178</v>
      </c>
      <c r="F1" s="10" t="s">
        <v>1179</v>
      </c>
      <c r="G1" s="10" t="s">
        <v>75</v>
      </c>
      <c r="H1" s="10" t="s">
        <v>79</v>
      </c>
      <c r="I1" s="10" t="s">
        <v>87</v>
      </c>
      <c r="J1" s="10" t="s">
        <v>89</v>
      </c>
      <c r="K1" s="10" t="s">
        <v>1180</v>
      </c>
      <c r="L1" s="10" t="s">
        <v>1181</v>
      </c>
      <c r="M1" s="10" t="s">
        <v>1182</v>
      </c>
      <c r="N1" s="10" t="s">
        <v>1183</v>
      </c>
    </row>
    <row r="2" customFormat="false" ht="35.05" hidden="false" customHeight="false" outlineLevel="0" collapsed="false">
      <c r="A2" s="12" t="s">
        <v>1184</v>
      </c>
      <c r="B2" s="12" t="s">
        <v>1185</v>
      </c>
      <c r="C2" s="13"/>
      <c r="D2" s="13" t="s">
        <v>1186</v>
      </c>
      <c r="E2" s="13"/>
      <c r="F2" s="12" t="s">
        <v>94</v>
      </c>
      <c r="G2" s="12" t="s">
        <v>93</v>
      </c>
      <c r="H2" s="12" t="s">
        <v>97</v>
      </c>
      <c r="I2" s="12" t="s">
        <v>104</v>
      </c>
      <c r="J2" s="13" t="s">
        <v>106</v>
      </c>
      <c r="K2" s="17" t="s">
        <v>14</v>
      </c>
      <c r="L2" s="12" t="s">
        <v>1187</v>
      </c>
      <c r="M2" s="12" t="s">
        <v>1188</v>
      </c>
      <c r="N2" s="12" t="s">
        <v>1189</v>
      </c>
    </row>
    <row r="3" customFormat="false" ht="35.05" hidden="false" customHeight="false" outlineLevel="0" collapsed="false">
      <c r="A3" s="12" t="s">
        <v>1184</v>
      </c>
      <c r="B3" s="12" t="s">
        <v>1190</v>
      </c>
      <c r="C3" s="13" t="s">
        <v>1186</v>
      </c>
      <c r="D3" s="13"/>
      <c r="E3" s="13"/>
      <c r="F3" s="12" t="s">
        <v>94</v>
      </c>
      <c r="G3" s="12" t="s">
        <v>93</v>
      </c>
      <c r="H3" s="12" t="s">
        <v>97</v>
      </c>
      <c r="I3" s="12" t="s">
        <v>104</v>
      </c>
      <c r="J3" s="13" t="s">
        <v>106</v>
      </c>
      <c r="K3" s="12" t="s">
        <v>16</v>
      </c>
      <c r="L3" s="12" t="s">
        <v>1191</v>
      </c>
      <c r="M3" s="12" t="s">
        <v>1188</v>
      </c>
      <c r="N3" s="12" t="s">
        <v>1189</v>
      </c>
    </row>
    <row r="4" customFormat="false" ht="35.05" hidden="false" customHeight="false" outlineLevel="0" collapsed="false">
      <c r="A4" s="12" t="s">
        <v>1192</v>
      </c>
      <c r="B4" s="12" t="s">
        <v>112</v>
      </c>
      <c r="C4" s="13" t="s">
        <v>1186</v>
      </c>
      <c r="D4" s="13"/>
      <c r="E4" s="13"/>
      <c r="F4" s="12" t="s">
        <v>112</v>
      </c>
      <c r="G4" s="12" t="s">
        <v>93</v>
      </c>
      <c r="H4" s="12" t="s">
        <v>113</v>
      </c>
      <c r="I4" s="12" t="s">
        <v>118</v>
      </c>
      <c r="J4" s="13" t="s">
        <v>106</v>
      </c>
      <c r="K4" s="17" t="s">
        <v>14</v>
      </c>
      <c r="L4" s="12" t="s">
        <v>1187</v>
      </c>
      <c r="M4" s="12" t="s">
        <v>1193</v>
      </c>
      <c r="N4" s="12" t="s">
        <v>1194</v>
      </c>
    </row>
    <row r="5" customFormat="false" ht="35.05" hidden="false" customHeight="false" outlineLevel="0" collapsed="false">
      <c r="A5" s="12" t="s">
        <v>1192</v>
      </c>
      <c r="B5" s="12" t="s">
        <v>112</v>
      </c>
      <c r="C5" s="13"/>
      <c r="D5" s="13"/>
      <c r="E5" s="13" t="s">
        <v>1186</v>
      </c>
      <c r="F5" s="12" t="s">
        <v>112</v>
      </c>
      <c r="G5" s="12" t="s">
        <v>93</v>
      </c>
      <c r="H5" s="12" t="s">
        <v>113</v>
      </c>
      <c r="I5" s="12" t="s">
        <v>118</v>
      </c>
      <c r="J5" s="13" t="s">
        <v>106</v>
      </c>
      <c r="K5" s="12" t="s">
        <v>16</v>
      </c>
      <c r="L5" s="12" t="s">
        <v>1191</v>
      </c>
      <c r="M5" s="12" t="s">
        <v>1193</v>
      </c>
      <c r="N5" s="12" t="s">
        <v>1194</v>
      </c>
    </row>
    <row r="6" customFormat="false" ht="68.65" hidden="false" customHeight="false" outlineLevel="0" collapsed="false">
      <c r="A6" s="12" t="s">
        <v>1192</v>
      </c>
      <c r="B6" s="12" t="s">
        <v>1195</v>
      </c>
      <c r="C6" s="13" t="s">
        <v>1186</v>
      </c>
      <c r="D6" s="13" t="s">
        <v>1186</v>
      </c>
      <c r="E6" s="13" t="s">
        <v>1186</v>
      </c>
      <c r="F6" s="12" t="s">
        <v>1139</v>
      </c>
      <c r="G6" s="12" t="s">
        <v>1138</v>
      </c>
      <c r="H6" s="12" t="s">
        <v>1140</v>
      </c>
      <c r="I6" s="12" t="s">
        <v>244</v>
      </c>
      <c r="J6" s="13" t="s">
        <v>244</v>
      </c>
      <c r="K6" s="12" t="s">
        <v>22</v>
      </c>
      <c r="L6" s="12" t="s">
        <v>1196</v>
      </c>
      <c r="M6" s="12" t="s">
        <v>550</v>
      </c>
      <c r="N6" s="12" t="s">
        <v>1197</v>
      </c>
    </row>
    <row r="7" customFormat="false" ht="23.85" hidden="false" customHeight="false" outlineLevel="0" collapsed="false">
      <c r="A7" s="12" t="s">
        <v>1192</v>
      </c>
      <c r="B7" s="12" t="s">
        <v>146</v>
      </c>
      <c r="C7" s="13"/>
      <c r="D7" s="13"/>
      <c r="E7" s="13" t="s">
        <v>1186</v>
      </c>
      <c r="F7" s="12" t="s">
        <v>146</v>
      </c>
      <c r="G7" s="12" t="s">
        <v>93</v>
      </c>
      <c r="H7" s="12" t="s">
        <v>148</v>
      </c>
      <c r="I7" s="12" t="s">
        <v>153</v>
      </c>
      <c r="J7" s="13" t="s">
        <v>106</v>
      </c>
      <c r="K7" s="12" t="s">
        <v>16</v>
      </c>
      <c r="L7" s="12" t="s">
        <v>1198</v>
      </c>
      <c r="M7" s="12" t="s">
        <v>550</v>
      </c>
      <c r="N7" s="12" t="s">
        <v>1197</v>
      </c>
    </row>
    <row r="8" customFormat="false" ht="23.85" hidden="false" customHeight="false" outlineLevel="0" collapsed="false">
      <c r="A8" s="12" t="s">
        <v>1192</v>
      </c>
      <c r="B8" s="12" t="s">
        <v>1199</v>
      </c>
      <c r="C8" s="13"/>
      <c r="D8" s="13" t="s">
        <v>1186</v>
      </c>
      <c r="E8" s="13"/>
      <c r="F8" s="12" t="s">
        <v>146</v>
      </c>
      <c r="G8" s="12" t="s">
        <v>93</v>
      </c>
      <c r="H8" s="12" t="s">
        <v>148</v>
      </c>
      <c r="I8" s="12" t="s">
        <v>153</v>
      </c>
      <c r="J8" s="13" t="s">
        <v>106</v>
      </c>
      <c r="K8" s="12" t="s">
        <v>16</v>
      </c>
      <c r="L8" s="12" t="s">
        <v>1198</v>
      </c>
      <c r="M8" s="12" t="s">
        <v>550</v>
      </c>
      <c r="N8" s="12" t="s">
        <v>1197</v>
      </c>
    </row>
    <row r="9" customFormat="false" ht="23.85" hidden="false" customHeight="false" outlineLevel="0" collapsed="false">
      <c r="A9" s="12" t="s">
        <v>1192</v>
      </c>
      <c r="B9" s="12" t="s">
        <v>1200</v>
      </c>
      <c r="C9" s="13" t="s">
        <v>1186</v>
      </c>
      <c r="D9" s="13"/>
      <c r="E9" s="13"/>
      <c r="F9" s="12" t="s">
        <v>146</v>
      </c>
      <c r="G9" s="12" t="s">
        <v>93</v>
      </c>
      <c r="H9" s="12" t="s">
        <v>148</v>
      </c>
      <c r="I9" s="12" t="s">
        <v>153</v>
      </c>
      <c r="J9" s="13" t="s">
        <v>106</v>
      </c>
      <c r="K9" s="12" t="s">
        <v>16</v>
      </c>
      <c r="L9" s="12" t="s">
        <v>1198</v>
      </c>
      <c r="M9" s="12" t="s">
        <v>550</v>
      </c>
      <c r="N9" s="12" t="s">
        <v>1197</v>
      </c>
    </row>
    <row r="10" customFormat="false" ht="23.85" hidden="false" customHeight="false" outlineLevel="0" collapsed="false">
      <c r="A10" s="12" t="s">
        <v>1192</v>
      </c>
      <c r="B10" s="12" t="s">
        <v>1200</v>
      </c>
      <c r="C10" s="13" t="s">
        <v>1186</v>
      </c>
      <c r="D10" s="13"/>
      <c r="E10" s="13"/>
      <c r="F10" s="12" t="s">
        <v>146</v>
      </c>
      <c r="G10" s="12" t="s">
        <v>93</v>
      </c>
      <c r="H10" s="12" t="s">
        <v>148</v>
      </c>
      <c r="I10" s="12" t="s">
        <v>153</v>
      </c>
      <c r="J10" s="13" t="s">
        <v>106</v>
      </c>
      <c r="K10" s="12" t="s">
        <v>16</v>
      </c>
      <c r="L10" s="12" t="s">
        <v>1198</v>
      </c>
      <c r="M10" s="12" t="s">
        <v>550</v>
      </c>
      <c r="N10" s="12" t="s">
        <v>1197</v>
      </c>
    </row>
    <row r="11" customFormat="false" ht="35.05" hidden="false" customHeight="false" outlineLevel="0" collapsed="false">
      <c r="A11" s="12" t="s">
        <v>1192</v>
      </c>
      <c r="B11" s="12" t="s">
        <v>1201</v>
      </c>
      <c r="C11" s="13" t="s">
        <v>1186</v>
      </c>
      <c r="D11" s="13"/>
      <c r="E11" s="13"/>
      <c r="F11" s="12" t="s">
        <v>94</v>
      </c>
      <c r="G11" s="12" t="s">
        <v>93</v>
      </c>
      <c r="H11" s="12" t="s">
        <v>97</v>
      </c>
      <c r="I11" s="12" t="s">
        <v>104</v>
      </c>
      <c r="J11" s="13" t="s">
        <v>106</v>
      </c>
      <c r="K11" s="17" t="s">
        <v>14</v>
      </c>
      <c r="L11" s="12" t="s">
        <v>1187</v>
      </c>
      <c r="M11" s="12" t="s">
        <v>1202</v>
      </c>
      <c r="N11" s="12" t="s">
        <v>1189</v>
      </c>
    </row>
    <row r="12" customFormat="false" ht="35.05" hidden="false" customHeight="false" outlineLevel="0" collapsed="false">
      <c r="A12" s="12" t="s">
        <v>1192</v>
      </c>
      <c r="B12" s="12" t="s">
        <v>1203</v>
      </c>
      <c r="C12" s="13" t="s">
        <v>1186</v>
      </c>
      <c r="D12" s="13"/>
      <c r="E12" s="13"/>
      <c r="F12" s="12" t="s">
        <v>124</v>
      </c>
      <c r="G12" s="12" t="s">
        <v>93</v>
      </c>
      <c r="H12" s="12" t="s">
        <v>126</v>
      </c>
      <c r="I12" s="12" t="s">
        <v>104</v>
      </c>
      <c r="J12" s="13" t="s">
        <v>106</v>
      </c>
      <c r="K12" s="17" t="s">
        <v>14</v>
      </c>
      <c r="L12" s="12" t="s">
        <v>1187</v>
      </c>
      <c r="M12" s="12" t="s">
        <v>1204</v>
      </c>
      <c r="N12" s="12" t="s">
        <v>1189</v>
      </c>
    </row>
    <row r="13" customFormat="false" ht="23.85" hidden="false" customHeight="false" outlineLevel="0" collapsed="false">
      <c r="A13" s="12" t="s">
        <v>1192</v>
      </c>
      <c r="B13" s="12" t="s">
        <v>1205</v>
      </c>
      <c r="C13" s="13" t="s">
        <v>1186</v>
      </c>
      <c r="D13" s="13"/>
      <c r="E13" s="13"/>
      <c r="F13" s="12" t="s">
        <v>158</v>
      </c>
      <c r="G13" s="12" t="s">
        <v>93</v>
      </c>
      <c r="H13" s="12" t="s">
        <v>160</v>
      </c>
      <c r="I13" s="12" t="s">
        <v>164</v>
      </c>
      <c r="J13" s="13" t="s">
        <v>106</v>
      </c>
      <c r="K13" s="17" t="s">
        <v>14</v>
      </c>
      <c r="L13" s="12" t="s">
        <v>1187</v>
      </c>
      <c r="M13" s="12" t="s">
        <v>1206</v>
      </c>
      <c r="N13" s="12" t="s">
        <v>1189</v>
      </c>
    </row>
    <row r="14" customFormat="false" ht="46.25" hidden="false" customHeight="false" outlineLevel="0" collapsed="false">
      <c r="A14" s="12" t="s">
        <v>1192</v>
      </c>
      <c r="B14" s="12" t="s">
        <v>1207</v>
      </c>
      <c r="C14" s="13"/>
      <c r="D14" s="13"/>
      <c r="E14" s="13" t="s">
        <v>1186</v>
      </c>
      <c r="F14" s="12" t="s">
        <v>217</v>
      </c>
      <c r="G14" s="12" t="s">
        <v>93</v>
      </c>
      <c r="H14" s="12" t="s">
        <v>218</v>
      </c>
      <c r="I14" s="12" t="s">
        <v>177</v>
      </c>
      <c r="J14" s="13" t="s">
        <v>106</v>
      </c>
      <c r="K14" s="17" t="s">
        <v>14</v>
      </c>
      <c r="L14" s="12" t="s">
        <v>1187</v>
      </c>
      <c r="M14" s="12" t="s">
        <v>1208</v>
      </c>
      <c r="N14" s="12" t="s">
        <v>1209</v>
      </c>
    </row>
    <row r="15" customFormat="false" ht="68.65" hidden="false" customHeight="false" outlineLevel="0" collapsed="false">
      <c r="A15" s="12" t="s">
        <v>1192</v>
      </c>
      <c r="B15" s="12" t="s">
        <v>1210</v>
      </c>
      <c r="C15" s="13" t="s">
        <v>1186</v>
      </c>
      <c r="D15" s="13"/>
      <c r="E15" s="13"/>
      <c r="F15" s="12" t="s">
        <v>1139</v>
      </c>
      <c r="G15" s="12" t="s">
        <v>1138</v>
      </c>
      <c r="H15" s="12" t="s">
        <v>1140</v>
      </c>
      <c r="I15" s="12" t="s">
        <v>244</v>
      </c>
      <c r="J15" s="13" t="s">
        <v>244</v>
      </c>
      <c r="K15" s="12" t="s">
        <v>22</v>
      </c>
      <c r="L15" s="12" t="s">
        <v>1196</v>
      </c>
      <c r="M15" s="12" t="s">
        <v>550</v>
      </c>
      <c r="N15" s="12" t="s">
        <v>1197</v>
      </c>
    </row>
    <row r="16" customFormat="false" ht="68.65" hidden="false" customHeight="false" outlineLevel="0" collapsed="false">
      <c r="A16" s="12" t="s">
        <v>1192</v>
      </c>
      <c r="B16" s="12" t="s">
        <v>1211</v>
      </c>
      <c r="C16" s="13"/>
      <c r="D16" s="13"/>
      <c r="E16" s="13" t="s">
        <v>1186</v>
      </c>
      <c r="F16" s="12" t="s">
        <v>1139</v>
      </c>
      <c r="G16" s="12" t="s">
        <v>1138</v>
      </c>
      <c r="H16" s="12" t="s">
        <v>1140</v>
      </c>
      <c r="I16" s="12" t="s">
        <v>244</v>
      </c>
      <c r="J16" s="13" t="s">
        <v>244</v>
      </c>
      <c r="K16" s="12" t="s">
        <v>22</v>
      </c>
      <c r="L16" s="12" t="s">
        <v>1196</v>
      </c>
      <c r="M16" s="12" t="s">
        <v>550</v>
      </c>
      <c r="N16" s="12" t="s">
        <v>1197</v>
      </c>
    </row>
    <row r="17" customFormat="false" ht="23.85" hidden="false" customHeight="false" outlineLevel="0" collapsed="false">
      <c r="A17" s="12" t="s">
        <v>1192</v>
      </c>
      <c r="B17" s="12" t="s">
        <v>388</v>
      </c>
      <c r="C17" s="13" t="s">
        <v>1186</v>
      </c>
      <c r="D17" s="13"/>
      <c r="E17" s="13"/>
      <c r="F17" s="12" t="s">
        <v>388</v>
      </c>
      <c r="G17" s="12" t="s">
        <v>344</v>
      </c>
      <c r="H17" s="12" t="s">
        <v>389</v>
      </c>
      <c r="I17" s="12" t="s">
        <v>164</v>
      </c>
      <c r="J17" s="13" t="s">
        <v>106</v>
      </c>
      <c r="K17" s="12" t="s">
        <v>20</v>
      </c>
      <c r="L17" s="12" t="s">
        <v>1212</v>
      </c>
      <c r="M17" s="12" t="s">
        <v>550</v>
      </c>
      <c r="N17" s="12" t="s">
        <v>1213</v>
      </c>
    </row>
    <row r="18" customFormat="false" ht="46.25" hidden="false" customHeight="false" outlineLevel="0" collapsed="false">
      <c r="A18" s="12" t="s">
        <v>1192</v>
      </c>
      <c r="B18" s="12" t="s">
        <v>1214</v>
      </c>
      <c r="C18" s="13"/>
      <c r="D18" s="13"/>
      <c r="E18" s="13" t="s">
        <v>1186</v>
      </c>
      <c r="F18" s="12" t="s">
        <v>171</v>
      </c>
      <c r="G18" s="12" t="s">
        <v>93</v>
      </c>
      <c r="H18" s="12" t="s">
        <v>173</v>
      </c>
      <c r="I18" s="12" t="s">
        <v>177</v>
      </c>
      <c r="J18" s="13" t="s">
        <v>106</v>
      </c>
      <c r="K18" s="17" t="s">
        <v>14</v>
      </c>
      <c r="L18" s="12" t="s">
        <v>1187</v>
      </c>
      <c r="M18" s="12" t="s">
        <v>1215</v>
      </c>
      <c r="N18" s="12" t="s">
        <v>1209</v>
      </c>
    </row>
    <row r="19" customFormat="false" ht="23.85" hidden="false" customHeight="false" outlineLevel="0" collapsed="false">
      <c r="A19" s="12" t="s">
        <v>1192</v>
      </c>
      <c r="B19" s="12" t="s">
        <v>1216</v>
      </c>
      <c r="C19" s="13" t="s">
        <v>1186</v>
      </c>
      <c r="D19" s="13"/>
      <c r="E19" s="13"/>
      <c r="F19" s="12" t="s">
        <v>804</v>
      </c>
      <c r="G19" s="12" t="s">
        <v>782</v>
      </c>
      <c r="H19" s="12" t="s">
        <v>805</v>
      </c>
      <c r="I19" s="12" t="s">
        <v>244</v>
      </c>
      <c r="J19" s="13" t="s">
        <v>307</v>
      </c>
      <c r="K19" s="12" t="s">
        <v>20</v>
      </c>
      <c r="L19" s="12" t="s">
        <v>1212</v>
      </c>
      <c r="M19" s="12" t="s">
        <v>550</v>
      </c>
      <c r="N19" s="12" t="s">
        <v>1217</v>
      </c>
    </row>
    <row r="20" customFormat="false" ht="35.05" hidden="false" customHeight="false" outlineLevel="0" collapsed="false">
      <c r="A20" s="12" t="s">
        <v>1192</v>
      </c>
      <c r="B20" s="12" t="s">
        <v>1218</v>
      </c>
      <c r="C20" s="13" t="s">
        <v>1186</v>
      </c>
      <c r="D20" s="13"/>
      <c r="E20" s="13"/>
      <c r="F20" s="12" t="s">
        <v>183</v>
      </c>
      <c r="G20" s="12" t="s">
        <v>93</v>
      </c>
      <c r="H20" s="12" t="s">
        <v>185</v>
      </c>
      <c r="I20" s="12" t="s">
        <v>189</v>
      </c>
      <c r="J20" s="13" t="s">
        <v>106</v>
      </c>
      <c r="K20" s="17" t="s">
        <v>14</v>
      </c>
      <c r="L20" s="12" t="s">
        <v>1187</v>
      </c>
      <c r="M20" s="12" t="s">
        <v>1193</v>
      </c>
      <c r="N20" s="12" t="s">
        <v>1219</v>
      </c>
    </row>
    <row r="21" customFormat="false" ht="23.85" hidden="false" customHeight="false" outlineLevel="0" collapsed="false">
      <c r="A21" s="12" t="s">
        <v>1192</v>
      </c>
      <c r="B21" s="12" t="s">
        <v>1220</v>
      </c>
      <c r="C21" s="13" t="s">
        <v>1186</v>
      </c>
      <c r="D21" s="13"/>
      <c r="E21" s="13"/>
      <c r="F21" s="12" t="s">
        <v>195</v>
      </c>
      <c r="G21" s="12" t="s">
        <v>93</v>
      </c>
      <c r="H21" s="12" t="s">
        <v>196</v>
      </c>
      <c r="I21" s="12" t="s">
        <v>189</v>
      </c>
      <c r="J21" s="13" t="s">
        <v>106</v>
      </c>
      <c r="K21" s="12" t="s">
        <v>16</v>
      </c>
      <c r="L21" s="12" t="s">
        <v>1198</v>
      </c>
      <c r="M21" s="12" t="s">
        <v>550</v>
      </c>
      <c r="N21" s="12" t="s">
        <v>1219</v>
      </c>
    </row>
    <row r="22" customFormat="false" ht="23.85" hidden="false" customHeight="false" outlineLevel="0" collapsed="false">
      <c r="A22" s="12" t="s">
        <v>1221</v>
      </c>
      <c r="B22" s="12" t="s">
        <v>942</v>
      </c>
      <c r="C22" s="13" t="s">
        <v>1186</v>
      </c>
      <c r="D22" s="13" t="s">
        <v>1186</v>
      </c>
      <c r="E22" s="13"/>
      <c r="F22" s="12" t="s">
        <v>942</v>
      </c>
      <c r="G22" s="12" t="s">
        <v>930</v>
      </c>
      <c r="H22" s="12" t="s">
        <v>944</v>
      </c>
      <c r="I22" s="12" t="s">
        <v>164</v>
      </c>
      <c r="J22" s="13" t="s">
        <v>106</v>
      </c>
      <c r="K22" s="12" t="s">
        <v>21</v>
      </c>
      <c r="L22" s="12" t="s">
        <v>1222</v>
      </c>
      <c r="M22" s="12" t="s">
        <v>550</v>
      </c>
      <c r="N22" s="12" t="s">
        <v>1223</v>
      </c>
    </row>
    <row r="23" customFormat="false" ht="68.65" hidden="false" customHeight="false" outlineLevel="0" collapsed="false">
      <c r="A23" s="12" t="s">
        <v>1221</v>
      </c>
      <c r="B23" s="12" t="s">
        <v>1224</v>
      </c>
      <c r="C23" s="13" t="s">
        <v>1186</v>
      </c>
      <c r="D23" s="13" t="s">
        <v>1186</v>
      </c>
      <c r="E23" s="13" t="s">
        <v>1186</v>
      </c>
      <c r="F23" s="12" t="s">
        <v>1139</v>
      </c>
      <c r="G23" s="12" t="s">
        <v>1138</v>
      </c>
      <c r="H23" s="12" t="s">
        <v>1140</v>
      </c>
      <c r="I23" s="12" t="s">
        <v>244</v>
      </c>
      <c r="J23" s="13" t="s">
        <v>244</v>
      </c>
      <c r="K23" s="12" t="s">
        <v>22</v>
      </c>
      <c r="L23" s="12" t="s">
        <v>1196</v>
      </c>
      <c r="M23" s="12" t="s">
        <v>550</v>
      </c>
      <c r="N23" s="12" t="s">
        <v>1197</v>
      </c>
    </row>
    <row r="24" customFormat="false" ht="23.85" hidden="false" customHeight="false" outlineLevel="0" collapsed="false">
      <c r="A24" s="12" t="s">
        <v>1221</v>
      </c>
      <c r="B24" s="12" t="s">
        <v>1225</v>
      </c>
      <c r="C24" s="13"/>
      <c r="D24" s="13"/>
      <c r="E24" s="13" t="s">
        <v>1186</v>
      </c>
      <c r="F24" s="12" t="s">
        <v>371</v>
      </c>
      <c r="G24" s="12" t="s">
        <v>344</v>
      </c>
      <c r="H24" s="12" t="s">
        <v>365</v>
      </c>
      <c r="I24" s="12" t="s">
        <v>189</v>
      </c>
      <c r="J24" s="13" t="s">
        <v>106</v>
      </c>
      <c r="K24" s="12" t="s">
        <v>16</v>
      </c>
      <c r="L24" s="12" t="s">
        <v>1198</v>
      </c>
      <c r="M24" s="12" t="s">
        <v>550</v>
      </c>
      <c r="N24" s="12" t="s">
        <v>1226</v>
      </c>
    </row>
    <row r="25" customFormat="false" ht="23.85" hidden="false" customHeight="false" outlineLevel="0" collapsed="false">
      <c r="A25" s="12" t="s">
        <v>1221</v>
      </c>
      <c r="B25" s="12" t="s">
        <v>1227</v>
      </c>
      <c r="C25" s="13"/>
      <c r="D25" s="13"/>
      <c r="E25" s="13" t="s">
        <v>1186</v>
      </c>
      <c r="F25" s="12" t="s">
        <v>208</v>
      </c>
      <c r="G25" s="12" t="s">
        <v>93</v>
      </c>
      <c r="H25" s="12" t="s">
        <v>209</v>
      </c>
      <c r="I25" s="12" t="s">
        <v>212</v>
      </c>
      <c r="J25" s="13" t="s">
        <v>106</v>
      </c>
      <c r="K25" s="12" t="s">
        <v>16</v>
      </c>
      <c r="L25" s="12" t="s">
        <v>1198</v>
      </c>
      <c r="M25" s="12" t="s">
        <v>550</v>
      </c>
      <c r="N25" s="12" t="s">
        <v>1226</v>
      </c>
    </row>
    <row r="26" customFormat="false" ht="46.25" hidden="false" customHeight="false" outlineLevel="0" collapsed="false">
      <c r="A26" s="12" t="s">
        <v>1221</v>
      </c>
      <c r="B26" s="12" t="s">
        <v>135</v>
      </c>
      <c r="C26" s="13" t="s">
        <v>1186</v>
      </c>
      <c r="D26" s="13"/>
      <c r="E26" s="13"/>
      <c r="F26" s="12" t="s">
        <v>135</v>
      </c>
      <c r="G26" s="12" t="s">
        <v>93</v>
      </c>
      <c r="H26" s="12" t="s">
        <v>137</v>
      </c>
      <c r="I26" s="12" t="s">
        <v>104</v>
      </c>
      <c r="J26" s="13" t="s">
        <v>106</v>
      </c>
      <c r="K26" s="17" t="s">
        <v>14</v>
      </c>
      <c r="L26" s="12" t="s">
        <v>1187</v>
      </c>
      <c r="M26" s="12" t="s">
        <v>1228</v>
      </c>
      <c r="N26" s="12" t="s">
        <v>1229</v>
      </c>
    </row>
    <row r="27" customFormat="false" ht="46.25" hidden="false" customHeight="false" outlineLevel="0" collapsed="false">
      <c r="A27" s="12" t="s">
        <v>1221</v>
      </c>
      <c r="B27" s="12" t="s">
        <v>135</v>
      </c>
      <c r="C27" s="13"/>
      <c r="D27" s="13"/>
      <c r="E27" s="13" t="s">
        <v>1186</v>
      </c>
      <c r="F27" s="12" t="s">
        <v>135</v>
      </c>
      <c r="G27" s="12" t="s">
        <v>93</v>
      </c>
      <c r="H27" s="12" t="s">
        <v>137</v>
      </c>
      <c r="I27" s="12" t="s">
        <v>104</v>
      </c>
      <c r="J27" s="13" t="s">
        <v>106</v>
      </c>
      <c r="K27" s="17" t="s">
        <v>14</v>
      </c>
      <c r="L27" s="12" t="s">
        <v>1187</v>
      </c>
      <c r="M27" s="12" t="s">
        <v>1228</v>
      </c>
      <c r="N27" s="12" t="s">
        <v>1229</v>
      </c>
    </row>
    <row r="28" customFormat="false" ht="23.85" hidden="false" customHeight="false" outlineLevel="0" collapsed="false">
      <c r="A28" s="12" t="s">
        <v>1221</v>
      </c>
      <c r="B28" s="12" t="s">
        <v>337</v>
      </c>
      <c r="C28" s="13" t="s">
        <v>1186</v>
      </c>
      <c r="D28" s="13"/>
      <c r="E28" s="13"/>
      <c r="F28" s="12" t="s">
        <v>337</v>
      </c>
      <c r="G28" s="12" t="s">
        <v>224</v>
      </c>
      <c r="H28" s="12" t="s">
        <v>338</v>
      </c>
      <c r="I28" s="12" t="s">
        <v>244</v>
      </c>
      <c r="J28" s="13" t="s">
        <v>307</v>
      </c>
      <c r="K28" s="12" t="s">
        <v>20</v>
      </c>
      <c r="L28" s="12" t="s">
        <v>1212</v>
      </c>
      <c r="M28" s="12" t="s">
        <v>550</v>
      </c>
      <c r="N28" s="12" t="s">
        <v>1217</v>
      </c>
    </row>
    <row r="29" customFormat="false" ht="23.85" hidden="false" customHeight="false" outlineLevel="0" collapsed="false">
      <c r="A29" s="12" t="s">
        <v>1221</v>
      </c>
      <c r="B29" s="12" t="s">
        <v>1230</v>
      </c>
      <c r="C29" s="13"/>
      <c r="D29" s="13"/>
      <c r="E29" s="13" t="s">
        <v>1186</v>
      </c>
      <c r="F29" s="12" t="s">
        <v>201</v>
      </c>
      <c r="G29" s="12" t="s">
        <v>93</v>
      </c>
      <c r="H29" s="12" t="s">
        <v>202</v>
      </c>
      <c r="I29" s="12" t="s">
        <v>104</v>
      </c>
      <c r="J29" s="13" t="s">
        <v>106</v>
      </c>
      <c r="K29" s="17" t="s">
        <v>14</v>
      </c>
      <c r="L29" s="12" t="s">
        <v>1187</v>
      </c>
      <c r="M29" s="12" t="s">
        <v>1208</v>
      </c>
      <c r="N29" s="12" t="s">
        <v>1231</v>
      </c>
    </row>
    <row r="30" customFormat="false" ht="46.25" hidden="false" customHeight="false" outlineLevel="0" collapsed="false">
      <c r="A30" s="12" t="s">
        <v>1221</v>
      </c>
      <c r="B30" s="12" t="s">
        <v>1232</v>
      </c>
      <c r="C30" s="13"/>
      <c r="D30" s="13"/>
      <c r="E30" s="13" t="s">
        <v>1186</v>
      </c>
      <c r="F30" s="12" t="s">
        <v>1171</v>
      </c>
      <c r="G30" s="12" t="s">
        <v>1158</v>
      </c>
      <c r="H30" s="12" t="s">
        <v>1172</v>
      </c>
      <c r="I30" s="12" t="s">
        <v>244</v>
      </c>
      <c r="J30" s="13" t="s">
        <v>244</v>
      </c>
      <c r="K30" s="12" t="s">
        <v>24</v>
      </c>
      <c r="L30" s="12" t="s">
        <v>1233</v>
      </c>
      <c r="M30" s="12" t="s">
        <v>550</v>
      </c>
      <c r="N30" s="12" t="s">
        <v>321</v>
      </c>
    </row>
    <row r="31" customFormat="false" ht="23.85" hidden="false" customHeight="false" outlineLevel="0" collapsed="false">
      <c r="A31" s="12" t="s">
        <v>1221</v>
      </c>
      <c r="B31" s="12" t="s">
        <v>1119</v>
      </c>
      <c r="C31" s="13"/>
      <c r="D31" s="13"/>
      <c r="E31" s="13" t="s">
        <v>1186</v>
      </c>
      <c r="F31" s="12" t="s">
        <v>1119</v>
      </c>
      <c r="G31" s="12" t="s">
        <v>1118</v>
      </c>
      <c r="H31" s="12" t="s">
        <v>1120</v>
      </c>
      <c r="I31" s="12" t="s">
        <v>499</v>
      </c>
      <c r="J31" s="13" t="s">
        <v>106</v>
      </c>
      <c r="K31" s="12" t="s">
        <v>20</v>
      </c>
      <c r="L31" s="12" t="s">
        <v>1212</v>
      </c>
      <c r="M31" s="12" t="s">
        <v>550</v>
      </c>
      <c r="N31" s="12" t="s">
        <v>1234</v>
      </c>
    </row>
    <row r="32" customFormat="false" ht="23.85" hidden="false" customHeight="false" outlineLevel="0" collapsed="false">
      <c r="A32" s="12" t="s">
        <v>1221</v>
      </c>
      <c r="B32" s="12" t="s">
        <v>146</v>
      </c>
      <c r="C32" s="13"/>
      <c r="D32" s="13" t="s">
        <v>1186</v>
      </c>
      <c r="E32" s="13" t="s">
        <v>1186</v>
      </c>
      <c r="F32" s="12" t="s">
        <v>146</v>
      </c>
      <c r="G32" s="12" t="s">
        <v>93</v>
      </c>
      <c r="H32" s="12" t="s">
        <v>148</v>
      </c>
      <c r="I32" s="12" t="s">
        <v>153</v>
      </c>
      <c r="J32" s="13" t="s">
        <v>106</v>
      </c>
      <c r="K32" s="12" t="s">
        <v>16</v>
      </c>
      <c r="L32" s="12" t="s">
        <v>1198</v>
      </c>
      <c r="M32" s="12" t="s">
        <v>550</v>
      </c>
      <c r="N32" s="12" t="s">
        <v>1197</v>
      </c>
    </row>
    <row r="33" customFormat="false" ht="23.85" hidden="false" customHeight="false" outlineLevel="0" collapsed="false">
      <c r="A33" s="12" t="s">
        <v>1221</v>
      </c>
      <c r="B33" s="12" t="s">
        <v>1235</v>
      </c>
      <c r="C33" s="13" t="s">
        <v>1186</v>
      </c>
      <c r="D33" s="13"/>
      <c r="E33" s="13" t="s">
        <v>1186</v>
      </c>
      <c r="F33" s="12" t="s">
        <v>931</v>
      </c>
      <c r="G33" s="12" t="s">
        <v>930</v>
      </c>
      <c r="H33" s="12" t="s">
        <v>933</v>
      </c>
      <c r="I33" s="12" t="s">
        <v>457</v>
      </c>
      <c r="J33" s="13" t="s">
        <v>106</v>
      </c>
      <c r="K33" s="12" t="s">
        <v>21</v>
      </c>
      <c r="L33" s="12" t="s">
        <v>1222</v>
      </c>
      <c r="M33" s="12" t="s">
        <v>550</v>
      </c>
      <c r="N33" s="12" t="s">
        <v>1197</v>
      </c>
    </row>
    <row r="34" customFormat="false" ht="23.85" hidden="false" customHeight="false" outlineLevel="0" collapsed="false">
      <c r="A34" s="12" t="s">
        <v>1221</v>
      </c>
      <c r="B34" s="12" t="s">
        <v>1199</v>
      </c>
      <c r="C34" s="13"/>
      <c r="D34" s="13" t="s">
        <v>1186</v>
      </c>
      <c r="E34" s="13"/>
      <c r="F34" s="12" t="s">
        <v>146</v>
      </c>
      <c r="G34" s="12" t="s">
        <v>93</v>
      </c>
      <c r="H34" s="12" t="s">
        <v>148</v>
      </c>
      <c r="I34" s="12" t="s">
        <v>153</v>
      </c>
      <c r="J34" s="13" t="s">
        <v>106</v>
      </c>
      <c r="K34" s="12" t="s">
        <v>16</v>
      </c>
      <c r="L34" s="12" t="s">
        <v>1198</v>
      </c>
      <c r="M34" s="12" t="s">
        <v>550</v>
      </c>
      <c r="N34" s="12" t="s">
        <v>1197</v>
      </c>
    </row>
    <row r="35" customFormat="false" ht="23.85" hidden="false" customHeight="false" outlineLevel="0" collapsed="false">
      <c r="A35" s="12" t="s">
        <v>1221</v>
      </c>
      <c r="B35" s="12" t="s">
        <v>1200</v>
      </c>
      <c r="C35" s="13" t="s">
        <v>1186</v>
      </c>
      <c r="D35" s="13"/>
      <c r="E35" s="13"/>
      <c r="F35" s="12" t="s">
        <v>146</v>
      </c>
      <c r="G35" s="12" t="s">
        <v>93</v>
      </c>
      <c r="H35" s="12" t="s">
        <v>148</v>
      </c>
      <c r="I35" s="12" t="s">
        <v>153</v>
      </c>
      <c r="J35" s="13" t="s">
        <v>106</v>
      </c>
      <c r="K35" s="12" t="s">
        <v>16</v>
      </c>
      <c r="L35" s="12" t="s">
        <v>1198</v>
      </c>
      <c r="M35" s="12" t="s">
        <v>550</v>
      </c>
      <c r="N35" s="12" t="s">
        <v>1197</v>
      </c>
    </row>
    <row r="36" customFormat="false" ht="35.05" hidden="false" customHeight="false" outlineLevel="0" collapsed="false">
      <c r="A36" s="12" t="s">
        <v>1221</v>
      </c>
      <c r="B36" s="12" t="s">
        <v>1236</v>
      </c>
      <c r="C36" s="13"/>
      <c r="D36" s="13" t="s">
        <v>1186</v>
      </c>
      <c r="E36" s="13"/>
      <c r="F36" s="12" t="s">
        <v>124</v>
      </c>
      <c r="G36" s="12" t="s">
        <v>93</v>
      </c>
      <c r="H36" s="12" t="s">
        <v>126</v>
      </c>
      <c r="I36" s="12" t="s">
        <v>104</v>
      </c>
      <c r="J36" s="13" t="s">
        <v>106</v>
      </c>
      <c r="K36" s="17" t="s">
        <v>14</v>
      </c>
      <c r="L36" s="12" t="s">
        <v>1187</v>
      </c>
      <c r="M36" s="12" t="s">
        <v>1237</v>
      </c>
      <c r="N36" s="12" t="s">
        <v>1189</v>
      </c>
    </row>
    <row r="37" customFormat="false" ht="23.85" hidden="false" customHeight="false" outlineLevel="0" collapsed="false">
      <c r="A37" s="12" t="s">
        <v>1221</v>
      </c>
      <c r="B37" s="12" t="s">
        <v>1238</v>
      </c>
      <c r="C37" s="13" t="s">
        <v>1186</v>
      </c>
      <c r="D37" s="13"/>
      <c r="E37" s="13"/>
      <c r="F37" s="12" t="s">
        <v>474</v>
      </c>
      <c r="G37" s="12" t="s">
        <v>463</v>
      </c>
      <c r="H37" s="12" t="s">
        <v>475</v>
      </c>
      <c r="I37" s="12" t="s">
        <v>469</v>
      </c>
      <c r="J37" s="13" t="s">
        <v>106</v>
      </c>
      <c r="K37" s="17" t="s">
        <v>14</v>
      </c>
      <c r="L37" s="12" t="s">
        <v>1187</v>
      </c>
      <c r="M37" s="12" t="s">
        <v>1206</v>
      </c>
      <c r="N37" s="12" t="s">
        <v>1239</v>
      </c>
    </row>
    <row r="38" customFormat="false" ht="23.85" hidden="false" customHeight="false" outlineLevel="0" collapsed="false">
      <c r="A38" s="12" t="s">
        <v>1221</v>
      </c>
      <c r="B38" s="12" t="s">
        <v>950</v>
      </c>
      <c r="C38" s="13"/>
      <c r="D38" s="13"/>
      <c r="E38" s="13" t="s">
        <v>1186</v>
      </c>
      <c r="F38" s="12" t="s">
        <v>950</v>
      </c>
      <c r="G38" s="12" t="s">
        <v>930</v>
      </c>
      <c r="H38" s="12" t="s">
        <v>952</v>
      </c>
      <c r="I38" s="12" t="s">
        <v>189</v>
      </c>
      <c r="J38" s="13" t="s">
        <v>106</v>
      </c>
      <c r="K38" s="12" t="s">
        <v>21</v>
      </c>
      <c r="L38" s="12" t="s">
        <v>1222</v>
      </c>
      <c r="M38" s="12" t="s">
        <v>550</v>
      </c>
      <c r="N38" s="12" t="s">
        <v>1223</v>
      </c>
    </row>
    <row r="39" customFormat="false" ht="35.05" hidden="false" customHeight="false" outlineLevel="0" collapsed="false">
      <c r="A39" s="12" t="s">
        <v>1221</v>
      </c>
      <c r="B39" s="12" t="s">
        <v>1190</v>
      </c>
      <c r="C39" s="13" t="s">
        <v>1186</v>
      </c>
      <c r="D39" s="13"/>
      <c r="E39" s="13"/>
      <c r="F39" s="12" t="s">
        <v>94</v>
      </c>
      <c r="G39" s="12" t="s">
        <v>93</v>
      </c>
      <c r="H39" s="12" t="s">
        <v>97</v>
      </c>
      <c r="I39" s="12" t="s">
        <v>104</v>
      </c>
      <c r="J39" s="13" t="s">
        <v>106</v>
      </c>
      <c r="K39" s="17" t="s">
        <v>14</v>
      </c>
      <c r="L39" s="12" t="s">
        <v>1187</v>
      </c>
      <c r="M39" s="12" t="s">
        <v>1240</v>
      </c>
      <c r="N39" s="12" t="s">
        <v>1189</v>
      </c>
    </row>
    <row r="40" customFormat="false" ht="35.05" hidden="false" customHeight="false" outlineLevel="0" collapsed="false">
      <c r="A40" s="12" t="s">
        <v>1221</v>
      </c>
      <c r="B40" s="12" t="s">
        <v>1185</v>
      </c>
      <c r="C40" s="13"/>
      <c r="D40" s="13"/>
      <c r="E40" s="13" t="s">
        <v>1186</v>
      </c>
      <c r="F40" s="12" t="s">
        <v>94</v>
      </c>
      <c r="G40" s="12" t="s">
        <v>93</v>
      </c>
      <c r="H40" s="12" t="s">
        <v>97</v>
      </c>
      <c r="I40" s="12" t="s">
        <v>104</v>
      </c>
      <c r="J40" s="13" t="s">
        <v>106</v>
      </c>
      <c r="K40" s="17" t="s">
        <v>14</v>
      </c>
      <c r="L40" s="12" t="s">
        <v>1187</v>
      </c>
      <c r="M40" s="12" t="s">
        <v>1240</v>
      </c>
      <c r="N40" s="12" t="s">
        <v>1189</v>
      </c>
    </row>
    <row r="41" customFormat="false" ht="35.05" hidden="false" customHeight="false" outlineLevel="0" collapsed="false">
      <c r="A41" s="12" t="s">
        <v>1221</v>
      </c>
      <c r="B41" s="12" t="s">
        <v>1185</v>
      </c>
      <c r="C41" s="13"/>
      <c r="D41" s="13" t="s">
        <v>1186</v>
      </c>
      <c r="E41" s="13"/>
      <c r="F41" s="12" t="s">
        <v>94</v>
      </c>
      <c r="G41" s="12" t="s">
        <v>93</v>
      </c>
      <c r="H41" s="12" t="s">
        <v>97</v>
      </c>
      <c r="I41" s="12" t="s">
        <v>104</v>
      </c>
      <c r="J41" s="13" t="s">
        <v>106</v>
      </c>
      <c r="K41" s="17" t="s">
        <v>14</v>
      </c>
      <c r="L41" s="12" t="s">
        <v>1187</v>
      </c>
      <c r="M41" s="12" t="s">
        <v>1240</v>
      </c>
      <c r="N41" s="12" t="s">
        <v>1189</v>
      </c>
    </row>
    <row r="42" customFormat="false" ht="23.85" hidden="false" customHeight="false" outlineLevel="0" collapsed="false">
      <c r="A42" s="12" t="s">
        <v>1221</v>
      </c>
      <c r="B42" s="12" t="s">
        <v>1241</v>
      </c>
      <c r="C42" s="13"/>
      <c r="D42" s="13"/>
      <c r="E42" s="13" t="s">
        <v>1186</v>
      </c>
      <c r="F42" s="12" t="s">
        <v>274</v>
      </c>
      <c r="G42" s="12" t="s">
        <v>224</v>
      </c>
      <c r="H42" s="12" t="s">
        <v>276</v>
      </c>
      <c r="I42" s="12" t="s">
        <v>189</v>
      </c>
      <c r="J42" s="13" t="s">
        <v>106</v>
      </c>
      <c r="K42" s="12" t="s">
        <v>16</v>
      </c>
      <c r="L42" s="12" t="s">
        <v>1191</v>
      </c>
      <c r="M42" s="12" t="s">
        <v>1242</v>
      </c>
      <c r="N42" s="12" t="s">
        <v>1243</v>
      </c>
    </row>
    <row r="43" customFormat="false" ht="23.85" hidden="false" customHeight="false" outlineLevel="0" collapsed="false">
      <c r="A43" s="12" t="s">
        <v>1221</v>
      </c>
      <c r="B43" s="12" t="s">
        <v>1244</v>
      </c>
      <c r="C43" s="13"/>
      <c r="D43" s="13" t="s">
        <v>1186</v>
      </c>
      <c r="E43" s="13"/>
      <c r="F43" s="12" t="s">
        <v>962</v>
      </c>
      <c r="G43" s="12" t="s">
        <v>930</v>
      </c>
      <c r="H43" s="12" t="s">
        <v>955</v>
      </c>
      <c r="I43" s="12" t="s">
        <v>164</v>
      </c>
      <c r="J43" s="13" t="s">
        <v>106</v>
      </c>
      <c r="K43" s="12" t="s">
        <v>21</v>
      </c>
      <c r="L43" s="12" t="s">
        <v>1222</v>
      </c>
      <c r="M43" s="12" t="s">
        <v>550</v>
      </c>
      <c r="N43" s="12" t="s">
        <v>1245</v>
      </c>
    </row>
    <row r="44" customFormat="false" ht="23.85" hidden="false" customHeight="false" outlineLevel="0" collapsed="false">
      <c r="A44" s="12" t="s">
        <v>1221</v>
      </c>
      <c r="B44" s="12" t="s">
        <v>1246</v>
      </c>
      <c r="C44" s="13"/>
      <c r="D44" s="13"/>
      <c r="E44" s="13" t="s">
        <v>1186</v>
      </c>
      <c r="F44" s="12" t="s">
        <v>931</v>
      </c>
      <c r="G44" s="12" t="s">
        <v>930</v>
      </c>
      <c r="H44" s="12" t="s">
        <v>933</v>
      </c>
      <c r="I44" s="12" t="s">
        <v>457</v>
      </c>
      <c r="J44" s="13" t="s">
        <v>106</v>
      </c>
      <c r="K44" s="12" t="s">
        <v>21</v>
      </c>
      <c r="L44" s="12" t="s">
        <v>1222</v>
      </c>
      <c r="M44" s="12" t="s">
        <v>550</v>
      </c>
      <c r="N44" s="12" t="s">
        <v>1197</v>
      </c>
    </row>
    <row r="45" customFormat="false" ht="68.65" hidden="false" customHeight="false" outlineLevel="0" collapsed="false">
      <c r="A45" s="12" t="s">
        <v>1221</v>
      </c>
      <c r="B45" s="12" t="s">
        <v>1247</v>
      </c>
      <c r="C45" s="13" t="s">
        <v>1186</v>
      </c>
      <c r="D45" s="13"/>
      <c r="E45" s="13" t="s">
        <v>1186</v>
      </c>
      <c r="F45" s="12" t="s">
        <v>1139</v>
      </c>
      <c r="G45" s="12" t="s">
        <v>1138</v>
      </c>
      <c r="H45" s="12" t="s">
        <v>1140</v>
      </c>
      <c r="I45" s="12" t="s">
        <v>244</v>
      </c>
      <c r="J45" s="13" t="s">
        <v>244</v>
      </c>
      <c r="K45" s="12" t="s">
        <v>22</v>
      </c>
      <c r="L45" s="12" t="s">
        <v>1196</v>
      </c>
      <c r="M45" s="12" t="s">
        <v>550</v>
      </c>
      <c r="N45" s="12" t="s">
        <v>1197</v>
      </c>
    </row>
    <row r="46" customFormat="false" ht="68.65" hidden="false" customHeight="false" outlineLevel="0" collapsed="false">
      <c r="A46" s="12" t="s">
        <v>1221</v>
      </c>
      <c r="B46" s="12" t="s">
        <v>1248</v>
      </c>
      <c r="C46" s="13" t="s">
        <v>1186</v>
      </c>
      <c r="D46" s="13"/>
      <c r="E46" s="13"/>
      <c r="F46" s="12" t="s">
        <v>1139</v>
      </c>
      <c r="G46" s="12" t="s">
        <v>1138</v>
      </c>
      <c r="H46" s="12" t="s">
        <v>1140</v>
      </c>
      <c r="I46" s="12" t="s">
        <v>244</v>
      </c>
      <c r="J46" s="13" t="s">
        <v>244</v>
      </c>
      <c r="K46" s="12" t="s">
        <v>22</v>
      </c>
      <c r="L46" s="12" t="s">
        <v>1196</v>
      </c>
      <c r="M46" s="12" t="s">
        <v>550</v>
      </c>
      <c r="N46" s="12" t="s">
        <v>1197</v>
      </c>
    </row>
    <row r="47" customFormat="false" ht="68.65" hidden="false" customHeight="false" outlineLevel="0" collapsed="false">
      <c r="A47" s="12" t="s">
        <v>1221</v>
      </c>
      <c r="B47" s="12" t="s">
        <v>1249</v>
      </c>
      <c r="C47" s="13" t="s">
        <v>1186</v>
      </c>
      <c r="D47" s="13"/>
      <c r="E47" s="13"/>
      <c r="F47" s="12" t="s">
        <v>1139</v>
      </c>
      <c r="G47" s="12" t="s">
        <v>1138</v>
      </c>
      <c r="H47" s="12" t="s">
        <v>1140</v>
      </c>
      <c r="I47" s="12" t="s">
        <v>244</v>
      </c>
      <c r="J47" s="13" t="s">
        <v>244</v>
      </c>
      <c r="K47" s="12" t="s">
        <v>22</v>
      </c>
      <c r="L47" s="12" t="s">
        <v>1196</v>
      </c>
      <c r="M47" s="12" t="s">
        <v>550</v>
      </c>
      <c r="N47" s="12" t="s">
        <v>1197</v>
      </c>
    </row>
    <row r="48" customFormat="false" ht="23.85" hidden="false" customHeight="false" outlineLevel="0" collapsed="false">
      <c r="A48" s="12" t="s">
        <v>1221</v>
      </c>
      <c r="B48" s="12" t="s">
        <v>1250</v>
      </c>
      <c r="C48" s="13" t="s">
        <v>1186</v>
      </c>
      <c r="D48" s="13"/>
      <c r="E48" s="13"/>
      <c r="F48" s="12" t="s">
        <v>506</v>
      </c>
      <c r="G48" s="12" t="s">
        <v>505</v>
      </c>
      <c r="H48" s="12" t="s">
        <v>507</v>
      </c>
      <c r="I48" s="12" t="s">
        <v>509</v>
      </c>
      <c r="J48" s="13" t="s">
        <v>106</v>
      </c>
      <c r="K48" s="12" t="s">
        <v>16</v>
      </c>
      <c r="L48" s="12" t="s">
        <v>1198</v>
      </c>
      <c r="M48" s="12" t="s">
        <v>550</v>
      </c>
      <c r="N48" s="12" t="s">
        <v>1213</v>
      </c>
    </row>
    <row r="49" customFormat="false" ht="68.65" hidden="false" customHeight="false" outlineLevel="0" collapsed="false">
      <c r="A49" s="12" t="s">
        <v>1221</v>
      </c>
      <c r="B49" s="12" t="s">
        <v>1251</v>
      </c>
      <c r="C49" s="13"/>
      <c r="D49" s="13" t="s">
        <v>1186</v>
      </c>
      <c r="E49" s="13" t="s">
        <v>1186</v>
      </c>
      <c r="F49" s="12" t="s">
        <v>1139</v>
      </c>
      <c r="G49" s="12" t="s">
        <v>1138</v>
      </c>
      <c r="H49" s="12" t="s">
        <v>1140</v>
      </c>
      <c r="I49" s="12" t="s">
        <v>244</v>
      </c>
      <c r="J49" s="13" t="s">
        <v>244</v>
      </c>
      <c r="K49" s="12" t="s">
        <v>22</v>
      </c>
      <c r="L49" s="12" t="s">
        <v>1196</v>
      </c>
      <c r="M49" s="12" t="s">
        <v>550</v>
      </c>
      <c r="N49" s="12" t="s">
        <v>1197</v>
      </c>
    </row>
    <row r="50" customFormat="false" ht="68.65" hidden="false" customHeight="false" outlineLevel="0" collapsed="false">
      <c r="A50" s="12" t="s">
        <v>1221</v>
      </c>
      <c r="B50" s="12" t="s">
        <v>1252</v>
      </c>
      <c r="C50" s="13" t="s">
        <v>1186</v>
      </c>
      <c r="D50" s="13"/>
      <c r="E50" s="13"/>
      <c r="F50" s="12" t="s">
        <v>1139</v>
      </c>
      <c r="G50" s="12" t="s">
        <v>1138</v>
      </c>
      <c r="H50" s="12" t="s">
        <v>1140</v>
      </c>
      <c r="I50" s="12" t="s">
        <v>244</v>
      </c>
      <c r="J50" s="13" t="s">
        <v>244</v>
      </c>
      <c r="K50" s="12" t="s">
        <v>22</v>
      </c>
      <c r="L50" s="12" t="s">
        <v>1196</v>
      </c>
      <c r="M50" s="12" t="s">
        <v>550</v>
      </c>
      <c r="N50" s="12" t="s">
        <v>1197</v>
      </c>
    </row>
    <row r="51" customFormat="false" ht="23.85" hidden="false" customHeight="false" outlineLevel="0" collapsed="false">
      <c r="A51" s="12" t="s">
        <v>1221</v>
      </c>
      <c r="B51" s="12" t="s">
        <v>146</v>
      </c>
      <c r="C51" s="13"/>
      <c r="D51" s="13"/>
      <c r="E51" s="13" t="s">
        <v>1186</v>
      </c>
      <c r="F51" s="12" t="s">
        <v>146</v>
      </c>
      <c r="G51" s="12" t="s">
        <v>93</v>
      </c>
      <c r="H51" s="12" t="s">
        <v>148</v>
      </c>
      <c r="I51" s="12" t="s">
        <v>153</v>
      </c>
      <c r="J51" s="13" t="s">
        <v>106</v>
      </c>
      <c r="K51" s="12" t="s">
        <v>16</v>
      </c>
      <c r="L51" s="12" t="s">
        <v>1198</v>
      </c>
      <c r="M51" s="12" t="s">
        <v>550</v>
      </c>
      <c r="N51" s="12" t="s">
        <v>1197</v>
      </c>
    </row>
    <row r="52" customFormat="false" ht="23.85" hidden="false" customHeight="false" outlineLevel="0" collapsed="false">
      <c r="A52" s="12" t="s">
        <v>1221</v>
      </c>
      <c r="B52" s="12" t="s">
        <v>1253</v>
      </c>
      <c r="C52" s="13" t="s">
        <v>1186</v>
      </c>
      <c r="D52" s="13"/>
      <c r="E52" s="13"/>
      <c r="F52" s="12" t="s">
        <v>146</v>
      </c>
      <c r="G52" s="12" t="s">
        <v>93</v>
      </c>
      <c r="H52" s="12" t="s">
        <v>148</v>
      </c>
      <c r="I52" s="12" t="s">
        <v>153</v>
      </c>
      <c r="J52" s="13" t="s">
        <v>106</v>
      </c>
      <c r="K52" s="12" t="s">
        <v>16</v>
      </c>
      <c r="L52" s="12" t="s">
        <v>1198</v>
      </c>
      <c r="M52" s="12" t="s">
        <v>550</v>
      </c>
      <c r="N52" s="12" t="s">
        <v>1197</v>
      </c>
    </row>
    <row r="53" customFormat="false" ht="46.25" hidden="false" customHeight="false" outlineLevel="0" collapsed="false">
      <c r="A53" s="12" t="s">
        <v>1221</v>
      </c>
      <c r="B53" s="12" t="s">
        <v>1207</v>
      </c>
      <c r="C53" s="13"/>
      <c r="D53" s="13"/>
      <c r="E53" s="13" t="s">
        <v>1186</v>
      </c>
      <c r="F53" s="12" t="s">
        <v>217</v>
      </c>
      <c r="G53" s="12" t="s">
        <v>93</v>
      </c>
      <c r="H53" s="12" t="s">
        <v>218</v>
      </c>
      <c r="I53" s="12" t="s">
        <v>177</v>
      </c>
      <c r="J53" s="13" t="s">
        <v>106</v>
      </c>
      <c r="K53" s="17" t="s">
        <v>14</v>
      </c>
      <c r="L53" s="12" t="s">
        <v>1187</v>
      </c>
      <c r="M53" s="12" t="s">
        <v>1254</v>
      </c>
      <c r="N53" s="12" t="s">
        <v>1209</v>
      </c>
    </row>
    <row r="54" customFormat="false" ht="23.85" hidden="false" customHeight="false" outlineLevel="0" collapsed="false">
      <c r="A54" s="12" t="s">
        <v>1221</v>
      </c>
      <c r="B54" s="12" t="s">
        <v>253</v>
      </c>
      <c r="C54" s="13"/>
      <c r="D54" s="13"/>
      <c r="E54" s="13" t="s">
        <v>1186</v>
      </c>
      <c r="F54" s="12" t="s">
        <v>253</v>
      </c>
      <c r="G54" s="12" t="s">
        <v>224</v>
      </c>
      <c r="H54" s="12" t="s">
        <v>254</v>
      </c>
      <c r="I54" s="12" t="s">
        <v>189</v>
      </c>
      <c r="J54" s="13" t="s">
        <v>106</v>
      </c>
      <c r="K54" s="12" t="s">
        <v>16</v>
      </c>
      <c r="L54" s="12" t="s">
        <v>1198</v>
      </c>
      <c r="M54" s="12" t="s">
        <v>550</v>
      </c>
      <c r="N54" s="12" t="s">
        <v>1255</v>
      </c>
    </row>
    <row r="55" customFormat="false" ht="68.65" hidden="false" customHeight="false" outlineLevel="0" collapsed="false">
      <c r="A55" s="12" t="s">
        <v>1221</v>
      </c>
      <c r="B55" s="12" t="s">
        <v>1256</v>
      </c>
      <c r="C55" s="13"/>
      <c r="D55" s="13" t="s">
        <v>1186</v>
      </c>
      <c r="E55" s="13"/>
      <c r="F55" s="12" t="s">
        <v>1139</v>
      </c>
      <c r="G55" s="12" t="s">
        <v>1138</v>
      </c>
      <c r="H55" s="12" t="s">
        <v>1140</v>
      </c>
      <c r="I55" s="12" t="s">
        <v>244</v>
      </c>
      <c r="J55" s="13" t="s">
        <v>244</v>
      </c>
      <c r="K55" s="12" t="s">
        <v>22</v>
      </c>
      <c r="L55" s="12" t="s">
        <v>1196</v>
      </c>
      <c r="M55" s="12" t="s">
        <v>550</v>
      </c>
      <c r="N55" s="12" t="s">
        <v>1197</v>
      </c>
    </row>
    <row r="56" customFormat="false" ht="23.85" hidden="false" customHeight="false" outlineLevel="0" collapsed="false">
      <c r="A56" s="12" t="s">
        <v>1221</v>
      </c>
      <c r="B56" s="12" t="s">
        <v>967</v>
      </c>
      <c r="C56" s="13"/>
      <c r="D56" s="13"/>
      <c r="E56" s="13" t="s">
        <v>1186</v>
      </c>
      <c r="F56" s="12" t="s">
        <v>967</v>
      </c>
      <c r="G56" s="12" t="s">
        <v>930</v>
      </c>
      <c r="H56" s="12" t="s">
        <v>968</v>
      </c>
      <c r="I56" s="12" t="s">
        <v>457</v>
      </c>
      <c r="J56" s="13" t="s">
        <v>106</v>
      </c>
      <c r="K56" s="12" t="s">
        <v>21</v>
      </c>
      <c r="L56" s="12" t="s">
        <v>1222</v>
      </c>
      <c r="M56" s="12" t="s">
        <v>550</v>
      </c>
      <c r="N56" s="12" t="s">
        <v>1257</v>
      </c>
    </row>
    <row r="57" customFormat="false" ht="23.85" hidden="false" customHeight="false" outlineLevel="0" collapsed="false">
      <c r="A57" s="12" t="s">
        <v>1221</v>
      </c>
      <c r="B57" s="12" t="s">
        <v>1258</v>
      </c>
      <c r="C57" s="13"/>
      <c r="D57" s="13" t="s">
        <v>1186</v>
      </c>
      <c r="E57" s="13"/>
      <c r="F57" s="12" t="s">
        <v>262</v>
      </c>
      <c r="G57" s="12" t="s">
        <v>224</v>
      </c>
      <c r="H57" s="12" t="s">
        <v>263</v>
      </c>
      <c r="I57" s="12" t="s">
        <v>189</v>
      </c>
      <c r="J57" s="13" t="s">
        <v>106</v>
      </c>
      <c r="K57" s="12" t="s">
        <v>16</v>
      </c>
      <c r="L57" s="12" t="s">
        <v>1198</v>
      </c>
      <c r="M57" s="12" t="s">
        <v>550</v>
      </c>
      <c r="N57" s="12" t="s">
        <v>1259</v>
      </c>
    </row>
    <row r="58" customFormat="false" ht="23.85" hidden="false" customHeight="false" outlineLevel="0" collapsed="false">
      <c r="A58" s="12" t="s">
        <v>1221</v>
      </c>
      <c r="B58" s="12" t="s">
        <v>1260</v>
      </c>
      <c r="C58" s="13" t="s">
        <v>1186</v>
      </c>
      <c r="D58" s="13"/>
      <c r="E58" s="13"/>
      <c r="F58" s="12" t="s">
        <v>268</v>
      </c>
      <c r="G58" s="12" t="s">
        <v>224</v>
      </c>
      <c r="H58" s="12" t="s">
        <v>269</v>
      </c>
      <c r="I58" s="12" t="s">
        <v>189</v>
      </c>
      <c r="J58" s="13" t="s">
        <v>106</v>
      </c>
      <c r="K58" s="12" t="s">
        <v>16</v>
      </c>
      <c r="L58" s="12" t="s">
        <v>1198</v>
      </c>
      <c r="M58" s="12" t="s">
        <v>550</v>
      </c>
      <c r="N58" s="12" t="s">
        <v>1261</v>
      </c>
    </row>
    <row r="59" customFormat="false" ht="23.85" hidden="false" customHeight="false" outlineLevel="0" collapsed="false">
      <c r="A59" s="12" t="s">
        <v>1221</v>
      </c>
      <c r="B59" s="12" t="s">
        <v>1262</v>
      </c>
      <c r="C59" s="13"/>
      <c r="D59" s="13"/>
      <c r="E59" s="13" t="s">
        <v>1186</v>
      </c>
      <c r="F59" s="12" t="s">
        <v>842</v>
      </c>
      <c r="G59" s="12" t="s">
        <v>834</v>
      </c>
      <c r="H59" s="12" t="s">
        <v>843</v>
      </c>
      <c r="I59" s="12" t="s">
        <v>760</v>
      </c>
      <c r="J59" s="13" t="s">
        <v>106</v>
      </c>
      <c r="K59" s="12" t="s">
        <v>16</v>
      </c>
      <c r="L59" s="12" t="s">
        <v>1198</v>
      </c>
      <c r="M59" s="12" t="s">
        <v>550</v>
      </c>
      <c r="N59" s="12" t="s">
        <v>1226</v>
      </c>
    </row>
    <row r="60" customFormat="false" ht="35.05" hidden="false" customHeight="false" outlineLevel="0" collapsed="false">
      <c r="A60" s="12" t="s">
        <v>1221</v>
      </c>
      <c r="B60" s="12" t="s">
        <v>1263</v>
      </c>
      <c r="C60" s="13" t="s">
        <v>1186</v>
      </c>
      <c r="D60" s="13"/>
      <c r="E60" s="13"/>
      <c r="F60" s="12" t="s">
        <v>911</v>
      </c>
      <c r="G60" s="12" t="s">
        <v>897</v>
      </c>
      <c r="H60" s="12" t="s">
        <v>912</v>
      </c>
      <c r="I60" s="12" t="s">
        <v>244</v>
      </c>
      <c r="J60" s="13" t="s">
        <v>244</v>
      </c>
      <c r="K60" s="12" t="s">
        <v>20</v>
      </c>
      <c r="L60" s="12" t="s">
        <v>1264</v>
      </c>
      <c r="M60" s="12" t="s">
        <v>550</v>
      </c>
      <c r="N60" s="12" t="s">
        <v>1217</v>
      </c>
    </row>
    <row r="61" customFormat="false" ht="23.85" hidden="false" customHeight="false" outlineLevel="0" collapsed="false">
      <c r="A61" s="12" t="s">
        <v>1221</v>
      </c>
      <c r="B61" s="12" t="s">
        <v>1265</v>
      </c>
      <c r="C61" s="13" t="s">
        <v>1186</v>
      </c>
      <c r="D61" s="13"/>
      <c r="E61" s="13"/>
      <c r="F61" s="12" t="s">
        <v>1004</v>
      </c>
      <c r="G61" s="12" t="s">
        <v>930</v>
      </c>
      <c r="H61" s="12" t="s">
        <v>1005</v>
      </c>
      <c r="I61" s="12" t="s">
        <v>244</v>
      </c>
      <c r="J61" s="13" t="s">
        <v>106</v>
      </c>
      <c r="K61" s="12" t="s">
        <v>21</v>
      </c>
      <c r="L61" s="12" t="s">
        <v>1222</v>
      </c>
      <c r="M61" s="12" t="s">
        <v>550</v>
      </c>
      <c r="N61" s="12" t="s">
        <v>1217</v>
      </c>
    </row>
    <row r="62" customFormat="false" ht="23.85" hidden="false" customHeight="false" outlineLevel="0" collapsed="false">
      <c r="A62" s="12" t="s">
        <v>1221</v>
      </c>
      <c r="B62" s="12" t="s">
        <v>1266</v>
      </c>
      <c r="C62" s="13" t="s">
        <v>1186</v>
      </c>
      <c r="D62" s="13"/>
      <c r="E62" s="13"/>
      <c r="F62" s="12" t="s">
        <v>281</v>
      </c>
      <c r="G62" s="12" t="s">
        <v>224</v>
      </c>
      <c r="H62" s="12" t="s">
        <v>282</v>
      </c>
      <c r="I62" s="12" t="s">
        <v>189</v>
      </c>
      <c r="J62" s="13" t="s">
        <v>106</v>
      </c>
      <c r="K62" s="12" t="s">
        <v>16</v>
      </c>
      <c r="L62" s="12" t="s">
        <v>1198</v>
      </c>
      <c r="M62" s="12" t="s">
        <v>550</v>
      </c>
      <c r="N62" s="12" t="s">
        <v>1213</v>
      </c>
    </row>
    <row r="63" customFormat="false" ht="23.85" hidden="false" customHeight="false" outlineLevel="0" collapsed="false">
      <c r="A63" s="12" t="s">
        <v>1221</v>
      </c>
      <c r="B63" s="12" t="s">
        <v>1267</v>
      </c>
      <c r="C63" s="13" t="s">
        <v>1186</v>
      </c>
      <c r="D63" s="13"/>
      <c r="E63" s="13"/>
      <c r="F63" s="12" t="s">
        <v>281</v>
      </c>
      <c r="G63" s="12" t="s">
        <v>224</v>
      </c>
      <c r="H63" s="12" t="s">
        <v>282</v>
      </c>
      <c r="I63" s="12" t="s">
        <v>189</v>
      </c>
      <c r="J63" s="13" t="s">
        <v>106</v>
      </c>
      <c r="K63" s="12" t="s">
        <v>16</v>
      </c>
      <c r="L63" s="12" t="s">
        <v>1198</v>
      </c>
      <c r="M63" s="12" t="s">
        <v>550</v>
      </c>
      <c r="N63" s="12" t="s">
        <v>1213</v>
      </c>
    </row>
    <row r="64" customFormat="false" ht="46.25" hidden="false" customHeight="false" outlineLevel="0" collapsed="false">
      <c r="A64" s="12" t="s">
        <v>1221</v>
      </c>
      <c r="B64" s="12" t="s">
        <v>1268</v>
      </c>
      <c r="C64" s="13"/>
      <c r="D64" s="13"/>
      <c r="E64" s="13" t="s">
        <v>1186</v>
      </c>
      <c r="F64" s="12" t="s">
        <v>1018</v>
      </c>
      <c r="G64" s="12" t="s">
        <v>930</v>
      </c>
      <c r="H64" s="12" t="s">
        <v>1019</v>
      </c>
      <c r="I64" s="12" t="s">
        <v>327</v>
      </c>
      <c r="J64" s="13" t="s">
        <v>106</v>
      </c>
      <c r="K64" s="12" t="s">
        <v>21</v>
      </c>
      <c r="L64" s="12" t="s">
        <v>1269</v>
      </c>
      <c r="M64" s="12" t="s">
        <v>550</v>
      </c>
      <c r="N64" s="12" t="s">
        <v>1223</v>
      </c>
    </row>
    <row r="65" customFormat="false" ht="35.05" hidden="false" customHeight="false" outlineLevel="0" collapsed="false">
      <c r="A65" s="12" t="s">
        <v>1221</v>
      </c>
      <c r="B65" s="12" t="s">
        <v>1270</v>
      </c>
      <c r="C65" s="13" t="s">
        <v>1186</v>
      </c>
      <c r="D65" s="13"/>
      <c r="E65" s="13"/>
      <c r="F65" s="12" t="s">
        <v>1151</v>
      </c>
      <c r="G65" s="12" t="s">
        <v>1138</v>
      </c>
      <c r="H65" s="12" t="s">
        <v>1152</v>
      </c>
      <c r="I65" s="12" t="s">
        <v>244</v>
      </c>
      <c r="J65" s="13" t="s">
        <v>244</v>
      </c>
      <c r="K65" s="12" t="s">
        <v>22</v>
      </c>
      <c r="L65" s="12" t="s">
        <v>1271</v>
      </c>
      <c r="M65" s="12" t="s">
        <v>550</v>
      </c>
      <c r="N65" s="12" t="s">
        <v>1223</v>
      </c>
    </row>
    <row r="66" customFormat="false" ht="35.05" hidden="false" customHeight="false" outlineLevel="0" collapsed="false">
      <c r="A66" s="12" t="s">
        <v>1221</v>
      </c>
      <c r="B66" s="12" t="s">
        <v>1272</v>
      </c>
      <c r="C66" s="13"/>
      <c r="D66" s="13" t="s">
        <v>1186</v>
      </c>
      <c r="E66" s="13" t="s">
        <v>1186</v>
      </c>
      <c r="F66" s="12" t="s">
        <v>345</v>
      </c>
      <c r="G66" s="12" t="s">
        <v>344</v>
      </c>
      <c r="H66" s="12" t="s">
        <v>347</v>
      </c>
      <c r="I66" s="12" t="s">
        <v>351</v>
      </c>
      <c r="J66" s="13" t="s">
        <v>106</v>
      </c>
      <c r="K66" s="18" t="s">
        <v>15</v>
      </c>
      <c r="L66" s="12" t="s">
        <v>1273</v>
      </c>
      <c r="M66" s="12" t="s">
        <v>1208</v>
      </c>
      <c r="N66" s="12" t="s">
        <v>1274</v>
      </c>
    </row>
    <row r="67" customFormat="false" ht="35.05" hidden="false" customHeight="false" outlineLevel="0" collapsed="false">
      <c r="A67" s="12" t="s">
        <v>1221</v>
      </c>
      <c r="B67" s="12" t="s">
        <v>1275</v>
      </c>
      <c r="C67" s="13" t="s">
        <v>1186</v>
      </c>
      <c r="D67" s="13"/>
      <c r="E67" s="13"/>
      <c r="F67" s="12" t="s">
        <v>345</v>
      </c>
      <c r="G67" s="12" t="s">
        <v>344</v>
      </c>
      <c r="H67" s="12" t="s">
        <v>347</v>
      </c>
      <c r="I67" s="12" t="s">
        <v>351</v>
      </c>
      <c r="J67" s="13" t="s">
        <v>106</v>
      </c>
      <c r="K67" s="12" t="s">
        <v>16</v>
      </c>
      <c r="L67" s="12" t="s">
        <v>1191</v>
      </c>
      <c r="M67" s="12" t="s">
        <v>1208</v>
      </c>
      <c r="N67" s="12" t="s">
        <v>1274</v>
      </c>
    </row>
    <row r="68" customFormat="false" ht="46.25" hidden="false" customHeight="false" outlineLevel="0" collapsed="false">
      <c r="A68" s="12" t="s">
        <v>1221</v>
      </c>
      <c r="B68" s="12" t="s">
        <v>1276</v>
      </c>
      <c r="C68" s="13"/>
      <c r="D68" s="13"/>
      <c r="E68" s="13" t="s">
        <v>1186</v>
      </c>
      <c r="F68" s="12" t="s">
        <v>1018</v>
      </c>
      <c r="G68" s="12" t="s">
        <v>930</v>
      </c>
      <c r="H68" s="12" t="s">
        <v>1019</v>
      </c>
      <c r="I68" s="12" t="s">
        <v>327</v>
      </c>
      <c r="J68" s="13" t="s">
        <v>106</v>
      </c>
      <c r="K68" s="12" t="s">
        <v>21</v>
      </c>
      <c r="L68" s="12" t="s">
        <v>1269</v>
      </c>
      <c r="M68" s="12" t="s">
        <v>550</v>
      </c>
      <c r="N68" s="12" t="s">
        <v>1223</v>
      </c>
    </row>
    <row r="69" customFormat="false" ht="23.85" hidden="false" customHeight="false" outlineLevel="0" collapsed="false">
      <c r="A69" s="12" t="s">
        <v>1221</v>
      </c>
      <c r="B69" s="12" t="s">
        <v>1277</v>
      </c>
      <c r="C69" s="13" t="s">
        <v>1186</v>
      </c>
      <c r="D69" s="13"/>
      <c r="E69" s="13"/>
      <c r="F69" s="12" t="s">
        <v>977</v>
      </c>
      <c r="G69" s="12" t="s">
        <v>930</v>
      </c>
      <c r="H69" s="12" t="s">
        <v>978</v>
      </c>
      <c r="I69" s="12" t="s">
        <v>980</v>
      </c>
      <c r="J69" s="13" t="s">
        <v>106</v>
      </c>
      <c r="K69" s="12" t="s">
        <v>21</v>
      </c>
      <c r="L69" s="12" t="s">
        <v>1222</v>
      </c>
      <c r="M69" s="12" t="s">
        <v>550</v>
      </c>
      <c r="N69" s="12" t="s">
        <v>1213</v>
      </c>
    </row>
    <row r="70" customFormat="false" ht="23.85" hidden="false" customHeight="false" outlineLevel="0" collapsed="false">
      <c r="A70" s="12" t="s">
        <v>1221</v>
      </c>
      <c r="B70" s="12" t="s">
        <v>1278</v>
      </c>
      <c r="C70" s="13" t="s">
        <v>1186</v>
      </c>
      <c r="D70" s="13"/>
      <c r="E70" s="13"/>
      <c r="F70" s="12" t="s">
        <v>977</v>
      </c>
      <c r="G70" s="12" t="s">
        <v>930</v>
      </c>
      <c r="H70" s="12" t="s">
        <v>978</v>
      </c>
      <c r="I70" s="12" t="s">
        <v>980</v>
      </c>
      <c r="J70" s="13" t="s">
        <v>106</v>
      </c>
      <c r="K70" s="12" t="s">
        <v>21</v>
      </c>
      <c r="L70" s="12" t="s">
        <v>1222</v>
      </c>
      <c r="M70" s="12" t="s">
        <v>550</v>
      </c>
      <c r="N70" s="12" t="s">
        <v>1213</v>
      </c>
    </row>
    <row r="71" customFormat="false" ht="23.85" hidden="false" customHeight="false" outlineLevel="0" collapsed="false">
      <c r="A71" s="12" t="s">
        <v>1221</v>
      </c>
      <c r="B71" s="12" t="s">
        <v>1279</v>
      </c>
      <c r="C71" s="13"/>
      <c r="D71" s="13" t="s">
        <v>1186</v>
      </c>
      <c r="E71" s="13"/>
      <c r="F71" s="12" t="s">
        <v>474</v>
      </c>
      <c r="G71" s="12" t="s">
        <v>463</v>
      </c>
      <c r="H71" s="12" t="s">
        <v>475</v>
      </c>
      <c r="I71" s="12" t="s">
        <v>469</v>
      </c>
      <c r="J71" s="13" t="s">
        <v>106</v>
      </c>
      <c r="K71" s="12" t="s">
        <v>16</v>
      </c>
      <c r="L71" s="12" t="s">
        <v>1191</v>
      </c>
      <c r="M71" s="12" t="s">
        <v>1206</v>
      </c>
      <c r="N71" s="12" t="s">
        <v>1239</v>
      </c>
    </row>
    <row r="72" customFormat="false" ht="23.85" hidden="false" customHeight="false" outlineLevel="0" collapsed="false">
      <c r="A72" s="12" t="s">
        <v>1221</v>
      </c>
      <c r="B72" s="12" t="s">
        <v>1280</v>
      </c>
      <c r="C72" s="13" t="s">
        <v>1186</v>
      </c>
      <c r="D72" s="13"/>
      <c r="E72" s="13"/>
      <c r="F72" s="12" t="s">
        <v>1132</v>
      </c>
      <c r="G72" s="12" t="s">
        <v>1118</v>
      </c>
      <c r="H72" s="12" t="s">
        <v>1133</v>
      </c>
      <c r="I72" s="12" t="s">
        <v>499</v>
      </c>
      <c r="J72" s="13" t="s">
        <v>106</v>
      </c>
      <c r="K72" s="12" t="s">
        <v>20</v>
      </c>
      <c r="L72" s="12" t="s">
        <v>1212</v>
      </c>
      <c r="M72" s="12" t="s">
        <v>550</v>
      </c>
      <c r="N72" s="12" t="s">
        <v>1217</v>
      </c>
    </row>
    <row r="73" customFormat="false" ht="23.85" hidden="false" customHeight="false" outlineLevel="0" collapsed="false">
      <c r="A73" s="12" t="s">
        <v>1221</v>
      </c>
      <c r="B73" s="12" t="s">
        <v>1281</v>
      </c>
      <c r="C73" s="13" t="s">
        <v>1186</v>
      </c>
      <c r="D73" s="13"/>
      <c r="E73" s="13" t="s">
        <v>1186</v>
      </c>
      <c r="F73" s="12" t="s">
        <v>898</v>
      </c>
      <c r="G73" s="12" t="s">
        <v>897</v>
      </c>
      <c r="H73" s="12" t="s">
        <v>899</v>
      </c>
      <c r="I73" s="12" t="s">
        <v>631</v>
      </c>
      <c r="J73" s="13" t="s">
        <v>106</v>
      </c>
      <c r="K73" s="12" t="s">
        <v>16</v>
      </c>
      <c r="L73" s="12" t="s">
        <v>1198</v>
      </c>
      <c r="M73" s="12" t="s">
        <v>550</v>
      </c>
      <c r="N73" s="12" t="s">
        <v>1223</v>
      </c>
    </row>
    <row r="74" customFormat="false" ht="35.05" hidden="false" customHeight="false" outlineLevel="0" collapsed="false">
      <c r="A74" s="12" t="s">
        <v>1221</v>
      </c>
      <c r="B74" s="12" t="s">
        <v>225</v>
      </c>
      <c r="C74" s="13" t="s">
        <v>1186</v>
      </c>
      <c r="D74" s="13"/>
      <c r="E74" s="13"/>
      <c r="F74" s="12" t="s">
        <v>225</v>
      </c>
      <c r="G74" s="12" t="s">
        <v>224</v>
      </c>
      <c r="H74" s="12" t="s">
        <v>227</v>
      </c>
      <c r="I74" s="12" t="s">
        <v>104</v>
      </c>
      <c r="J74" s="13" t="s">
        <v>106</v>
      </c>
      <c r="K74" s="12" t="s">
        <v>16</v>
      </c>
      <c r="L74" s="12" t="s">
        <v>1198</v>
      </c>
      <c r="M74" s="12" t="s">
        <v>550</v>
      </c>
      <c r="N74" s="12" t="s">
        <v>1219</v>
      </c>
    </row>
    <row r="75" customFormat="false" ht="23.85" hidden="false" customHeight="false" outlineLevel="0" collapsed="false">
      <c r="A75" s="12" t="s">
        <v>1221</v>
      </c>
      <c r="B75" s="12" t="s">
        <v>1282</v>
      </c>
      <c r="C75" s="13" t="s">
        <v>1186</v>
      </c>
      <c r="D75" s="13"/>
      <c r="E75" s="13"/>
      <c r="F75" s="12" t="s">
        <v>274</v>
      </c>
      <c r="G75" s="12" t="s">
        <v>224</v>
      </c>
      <c r="H75" s="12" t="s">
        <v>276</v>
      </c>
      <c r="I75" s="12" t="s">
        <v>189</v>
      </c>
      <c r="J75" s="13" t="s">
        <v>106</v>
      </c>
      <c r="K75" s="12" t="s">
        <v>16</v>
      </c>
      <c r="L75" s="12" t="s">
        <v>1191</v>
      </c>
      <c r="M75" s="12" t="s">
        <v>1242</v>
      </c>
      <c r="N75" s="12" t="s">
        <v>1243</v>
      </c>
    </row>
    <row r="76" customFormat="false" ht="23.85" hidden="false" customHeight="false" outlineLevel="0" collapsed="false">
      <c r="A76" s="12" t="s">
        <v>1221</v>
      </c>
      <c r="B76" s="12" t="s">
        <v>1283</v>
      </c>
      <c r="C76" s="13" t="s">
        <v>1186</v>
      </c>
      <c r="D76" s="13"/>
      <c r="E76" s="13"/>
      <c r="F76" s="12" t="s">
        <v>988</v>
      </c>
      <c r="G76" s="12" t="s">
        <v>930</v>
      </c>
      <c r="H76" s="12" t="s">
        <v>989</v>
      </c>
      <c r="I76" s="12" t="s">
        <v>631</v>
      </c>
      <c r="J76" s="13" t="s">
        <v>106</v>
      </c>
      <c r="K76" s="12" t="s">
        <v>21</v>
      </c>
      <c r="L76" s="12" t="s">
        <v>1222</v>
      </c>
      <c r="M76" s="12" t="s">
        <v>550</v>
      </c>
      <c r="N76" s="12" t="s">
        <v>1213</v>
      </c>
    </row>
    <row r="77" customFormat="false" ht="46.25" hidden="false" customHeight="false" outlineLevel="0" collapsed="false">
      <c r="A77" s="12" t="s">
        <v>1221</v>
      </c>
      <c r="B77" s="12" t="s">
        <v>1284</v>
      </c>
      <c r="C77" s="13" t="s">
        <v>1186</v>
      </c>
      <c r="D77" s="13"/>
      <c r="E77" s="13"/>
      <c r="F77" s="12" t="s">
        <v>1018</v>
      </c>
      <c r="G77" s="12" t="s">
        <v>930</v>
      </c>
      <c r="H77" s="12" t="s">
        <v>1019</v>
      </c>
      <c r="I77" s="12" t="s">
        <v>327</v>
      </c>
      <c r="J77" s="13" t="s">
        <v>106</v>
      </c>
      <c r="K77" s="12" t="s">
        <v>21</v>
      </c>
      <c r="L77" s="12" t="s">
        <v>1269</v>
      </c>
      <c r="M77" s="12" t="s">
        <v>550</v>
      </c>
      <c r="N77" s="12" t="s">
        <v>1223</v>
      </c>
    </row>
    <row r="78" customFormat="false" ht="23.85" hidden="false" customHeight="false" outlineLevel="0" collapsed="false">
      <c r="A78" s="12" t="s">
        <v>1221</v>
      </c>
      <c r="B78" s="12" t="s">
        <v>1285</v>
      </c>
      <c r="C78" s="13" t="s">
        <v>1186</v>
      </c>
      <c r="D78" s="13"/>
      <c r="E78" s="13"/>
      <c r="F78" s="12" t="s">
        <v>835</v>
      </c>
      <c r="G78" s="12" t="s">
        <v>834</v>
      </c>
      <c r="H78" s="12" t="s">
        <v>836</v>
      </c>
      <c r="I78" s="12" t="s">
        <v>177</v>
      </c>
      <c r="J78" s="13" t="s">
        <v>106</v>
      </c>
      <c r="K78" s="12" t="s">
        <v>16</v>
      </c>
      <c r="L78" s="12" t="s">
        <v>1198</v>
      </c>
      <c r="M78" s="12" t="s">
        <v>550</v>
      </c>
      <c r="N78" s="12" t="s">
        <v>1286</v>
      </c>
    </row>
    <row r="79" customFormat="false" ht="23.85" hidden="false" customHeight="false" outlineLevel="0" collapsed="false">
      <c r="A79" s="12" t="s">
        <v>1221</v>
      </c>
      <c r="B79" s="12" t="s">
        <v>1287</v>
      </c>
      <c r="C79" s="13"/>
      <c r="D79" s="13" t="s">
        <v>1186</v>
      </c>
      <c r="E79" s="13"/>
      <c r="F79" s="12" t="s">
        <v>1135</v>
      </c>
      <c r="G79" s="12" t="s">
        <v>1118</v>
      </c>
      <c r="H79" s="12" t="s">
        <v>1136</v>
      </c>
      <c r="I79" s="12" t="s">
        <v>244</v>
      </c>
      <c r="J79" s="13" t="s">
        <v>106</v>
      </c>
      <c r="K79" s="12" t="s">
        <v>20</v>
      </c>
      <c r="L79" s="12" t="s">
        <v>1212</v>
      </c>
      <c r="M79" s="12" t="s">
        <v>550</v>
      </c>
      <c r="N79" s="12" t="s">
        <v>1245</v>
      </c>
    </row>
    <row r="80" customFormat="false" ht="46.25" hidden="false" customHeight="false" outlineLevel="0" collapsed="false">
      <c r="A80" s="12" t="s">
        <v>1221</v>
      </c>
      <c r="B80" s="12" t="s">
        <v>1288</v>
      </c>
      <c r="C80" s="13"/>
      <c r="D80" s="13" t="s">
        <v>1186</v>
      </c>
      <c r="E80" s="13"/>
      <c r="F80" s="12" t="s">
        <v>1171</v>
      </c>
      <c r="G80" s="12" t="s">
        <v>1158</v>
      </c>
      <c r="H80" s="12" t="s">
        <v>1172</v>
      </c>
      <c r="I80" s="12" t="s">
        <v>244</v>
      </c>
      <c r="J80" s="13" t="s">
        <v>244</v>
      </c>
      <c r="K80" s="12" t="s">
        <v>24</v>
      </c>
      <c r="L80" s="12" t="s">
        <v>1233</v>
      </c>
      <c r="M80" s="12" t="s">
        <v>550</v>
      </c>
      <c r="N80" s="12" t="s">
        <v>321</v>
      </c>
    </row>
    <row r="81" customFormat="false" ht="23.85" hidden="false" customHeight="false" outlineLevel="0" collapsed="false">
      <c r="A81" s="12" t="s">
        <v>1221</v>
      </c>
      <c r="B81" s="12" t="s">
        <v>1289</v>
      </c>
      <c r="C81" s="13"/>
      <c r="D81" s="13"/>
      <c r="E81" s="13" t="s">
        <v>1186</v>
      </c>
      <c r="F81" s="12" t="s">
        <v>464</v>
      </c>
      <c r="G81" s="12" t="s">
        <v>463</v>
      </c>
      <c r="H81" s="12" t="s">
        <v>465</v>
      </c>
      <c r="I81" s="12" t="s">
        <v>469</v>
      </c>
      <c r="J81" s="13" t="s">
        <v>106</v>
      </c>
      <c r="K81" s="17" t="s">
        <v>14</v>
      </c>
      <c r="L81" s="12" t="s">
        <v>1187</v>
      </c>
      <c r="M81" s="12" t="s">
        <v>1208</v>
      </c>
      <c r="N81" s="12" t="s">
        <v>1290</v>
      </c>
    </row>
    <row r="82" customFormat="false" ht="23.85" hidden="false" customHeight="false" outlineLevel="0" collapsed="false">
      <c r="A82" s="12" t="s">
        <v>1221</v>
      </c>
      <c r="B82" s="12" t="s">
        <v>1291</v>
      </c>
      <c r="C82" s="13"/>
      <c r="D82" s="13"/>
      <c r="E82" s="13" t="s">
        <v>1186</v>
      </c>
      <c r="F82" s="12" t="s">
        <v>965</v>
      </c>
      <c r="G82" s="12" t="s">
        <v>930</v>
      </c>
      <c r="H82" s="12" t="s">
        <v>955</v>
      </c>
      <c r="I82" s="12" t="s">
        <v>164</v>
      </c>
      <c r="J82" s="13" t="s">
        <v>106</v>
      </c>
      <c r="K82" s="12" t="s">
        <v>21</v>
      </c>
      <c r="L82" s="12" t="s">
        <v>1222</v>
      </c>
      <c r="M82" s="12" t="s">
        <v>550</v>
      </c>
      <c r="N82" s="12" t="s">
        <v>1257</v>
      </c>
    </row>
    <row r="83" customFormat="false" ht="23.85" hidden="false" customHeight="false" outlineLevel="0" collapsed="false">
      <c r="A83" s="12" t="s">
        <v>1221</v>
      </c>
      <c r="B83" s="12" t="s">
        <v>1292</v>
      </c>
      <c r="C83" s="13" t="s">
        <v>1186</v>
      </c>
      <c r="D83" s="13"/>
      <c r="E83" s="13"/>
      <c r="F83" s="12" t="s">
        <v>392</v>
      </c>
      <c r="G83" s="12" t="s">
        <v>344</v>
      </c>
      <c r="H83" s="12" t="s">
        <v>393</v>
      </c>
      <c r="I83" s="12" t="s">
        <v>164</v>
      </c>
      <c r="J83" s="13" t="s">
        <v>106</v>
      </c>
      <c r="K83" s="12" t="s">
        <v>20</v>
      </c>
      <c r="L83" s="12" t="s">
        <v>1212</v>
      </c>
      <c r="M83" s="12" t="s">
        <v>550</v>
      </c>
      <c r="N83" s="12" t="s">
        <v>1213</v>
      </c>
    </row>
    <row r="84" customFormat="false" ht="23.85" hidden="false" customHeight="false" outlineLevel="0" collapsed="false">
      <c r="A84" s="12" t="s">
        <v>1221</v>
      </c>
      <c r="B84" s="12" t="s">
        <v>1293</v>
      </c>
      <c r="C84" s="13" t="s">
        <v>1186</v>
      </c>
      <c r="D84" s="13" t="s">
        <v>1186</v>
      </c>
      <c r="E84" s="13"/>
      <c r="F84" s="12" t="s">
        <v>969</v>
      </c>
      <c r="G84" s="12" t="s">
        <v>930</v>
      </c>
      <c r="H84" s="12" t="s">
        <v>970</v>
      </c>
      <c r="I84" s="12" t="s">
        <v>189</v>
      </c>
      <c r="J84" s="13" t="s">
        <v>106</v>
      </c>
      <c r="K84" s="12" t="s">
        <v>21</v>
      </c>
      <c r="L84" s="12" t="s">
        <v>1222</v>
      </c>
      <c r="M84" s="12" t="s">
        <v>550</v>
      </c>
      <c r="N84" s="12" t="s">
        <v>1294</v>
      </c>
    </row>
    <row r="85" customFormat="false" ht="23.85" hidden="false" customHeight="false" outlineLevel="0" collapsed="false">
      <c r="A85" s="12" t="s">
        <v>1221</v>
      </c>
      <c r="B85" s="12" t="s">
        <v>1295</v>
      </c>
      <c r="C85" s="13" t="s">
        <v>1186</v>
      </c>
      <c r="D85" s="13"/>
      <c r="E85" s="13"/>
      <c r="F85" s="12" t="s">
        <v>958</v>
      </c>
      <c r="G85" s="12" t="s">
        <v>930</v>
      </c>
      <c r="H85" s="12" t="s">
        <v>955</v>
      </c>
      <c r="I85" s="12" t="s">
        <v>189</v>
      </c>
      <c r="J85" s="13" t="s">
        <v>106</v>
      </c>
      <c r="K85" s="12" t="s">
        <v>21</v>
      </c>
      <c r="L85" s="12" t="s">
        <v>1222</v>
      </c>
      <c r="M85" s="12" t="s">
        <v>550</v>
      </c>
      <c r="N85" s="12" t="s">
        <v>1296</v>
      </c>
    </row>
    <row r="86" customFormat="false" ht="23.85" hidden="false" customHeight="false" outlineLevel="0" collapsed="false">
      <c r="A86" s="12" t="s">
        <v>1221</v>
      </c>
      <c r="B86" s="12" t="s">
        <v>1220</v>
      </c>
      <c r="C86" s="13" t="s">
        <v>1186</v>
      </c>
      <c r="D86" s="13"/>
      <c r="E86" s="13"/>
      <c r="F86" s="12" t="s">
        <v>195</v>
      </c>
      <c r="G86" s="12" t="s">
        <v>93</v>
      </c>
      <c r="H86" s="12" t="s">
        <v>196</v>
      </c>
      <c r="I86" s="12" t="s">
        <v>189</v>
      </c>
      <c r="J86" s="13" t="s">
        <v>106</v>
      </c>
      <c r="K86" s="12" t="s">
        <v>16</v>
      </c>
      <c r="L86" s="12" t="s">
        <v>1198</v>
      </c>
      <c r="M86" s="12" t="s">
        <v>550</v>
      </c>
      <c r="N86" s="12" t="s">
        <v>1219</v>
      </c>
    </row>
    <row r="87" customFormat="false" ht="23.85" hidden="false" customHeight="false" outlineLevel="0" collapsed="false">
      <c r="A87" s="12" t="s">
        <v>1221</v>
      </c>
      <c r="B87" s="12" t="s">
        <v>1297</v>
      </c>
      <c r="C87" s="13" t="s">
        <v>1186</v>
      </c>
      <c r="D87" s="13"/>
      <c r="E87" s="13"/>
      <c r="F87" s="12" t="s">
        <v>954</v>
      </c>
      <c r="G87" s="12" t="s">
        <v>930</v>
      </c>
      <c r="H87" s="12" t="s">
        <v>955</v>
      </c>
      <c r="I87" s="12" t="s">
        <v>164</v>
      </c>
      <c r="J87" s="13" t="s">
        <v>106</v>
      </c>
      <c r="K87" s="12" t="s">
        <v>21</v>
      </c>
      <c r="L87" s="12" t="s">
        <v>1222</v>
      </c>
      <c r="M87" s="12" t="s">
        <v>550</v>
      </c>
      <c r="N87" s="12" t="s">
        <v>1294</v>
      </c>
    </row>
    <row r="88" customFormat="false" ht="46.25" hidden="false" customHeight="false" outlineLevel="0" collapsed="false">
      <c r="A88" s="12" t="s">
        <v>1298</v>
      </c>
      <c r="B88" s="12" t="s">
        <v>135</v>
      </c>
      <c r="C88" s="13"/>
      <c r="D88" s="13"/>
      <c r="E88" s="13" t="s">
        <v>1186</v>
      </c>
      <c r="F88" s="12" t="s">
        <v>135</v>
      </c>
      <c r="G88" s="12" t="s">
        <v>93</v>
      </c>
      <c r="H88" s="12" t="s">
        <v>137</v>
      </c>
      <c r="I88" s="12" t="s">
        <v>104</v>
      </c>
      <c r="J88" s="13" t="s">
        <v>106</v>
      </c>
      <c r="K88" s="17" t="s">
        <v>14</v>
      </c>
      <c r="L88" s="12" t="s">
        <v>1187</v>
      </c>
      <c r="M88" s="12" t="s">
        <v>1299</v>
      </c>
      <c r="N88" s="12" t="s">
        <v>1229</v>
      </c>
    </row>
    <row r="89" customFormat="false" ht="23.85" hidden="false" customHeight="false" outlineLevel="0" collapsed="false">
      <c r="A89" s="12" t="s">
        <v>1298</v>
      </c>
      <c r="B89" s="12" t="s">
        <v>1300</v>
      </c>
      <c r="C89" s="13"/>
      <c r="D89" s="13" t="s">
        <v>1186</v>
      </c>
      <c r="E89" s="13"/>
      <c r="F89" s="12" t="s">
        <v>464</v>
      </c>
      <c r="G89" s="12" t="s">
        <v>463</v>
      </c>
      <c r="H89" s="12" t="s">
        <v>465</v>
      </c>
      <c r="I89" s="12" t="s">
        <v>469</v>
      </c>
      <c r="J89" s="13" t="s">
        <v>106</v>
      </c>
      <c r="K89" s="12" t="s">
        <v>16</v>
      </c>
      <c r="L89" s="12" t="s">
        <v>1198</v>
      </c>
      <c r="M89" s="12" t="s">
        <v>550</v>
      </c>
      <c r="N89" s="12" t="s">
        <v>1290</v>
      </c>
    </row>
    <row r="90" customFormat="false" ht="23.85" hidden="false" customHeight="false" outlineLevel="0" collapsed="false">
      <c r="A90" s="12" t="s">
        <v>1298</v>
      </c>
      <c r="B90" s="12" t="s">
        <v>1301</v>
      </c>
      <c r="C90" s="13" t="s">
        <v>1186</v>
      </c>
      <c r="D90" s="13"/>
      <c r="E90" s="13"/>
      <c r="F90" s="12" t="s">
        <v>383</v>
      </c>
      <c r="G90" s="12" t="s">
        <v>344</v>
      </c>
      <c r="H90" s="12" t="s">
        <v>365</v>
      </c>
      <c r="I90" s="12" t="s">
        <v>189</v>
      </c>
      <c r="J90" s="13" t="s">
        <v>106</v>
      </c>
      <c r="K90" s="12" t="s">
        <v>16</v>
      </c>
      <c r="L90" s="12" t="s">
        <v>1198</v>
      </c>
      <c r="M90" s="12" t="s">
        <v>550</v>
      </c>
      <c r="N90" s="12" t="s">
        <v>1213</v>
      </c>
    </row>
    <row r="91" customFormat="false" ht="23.85" hidden="false" customHeight="false" outlineLevel="0" collapsed="false">
      <c r="A91" s="12" t="s">
        <v>1302</v>
      </c>
      <c r="B91" s="12" t="s">
        <v>942</v>
      </c>
      <c r="C91" s="13" t="s">
        <v>1186</v>
      </c>
      <c r="D91" s="13" t="s">
        <v>1186</v>
      </c>
      <c r="E91" s="13" t="s">
        <v>1186</v>
      </c>
      <c r="F91" s="12" t="s">
        <v>942</v>
      </c>
      <c r="G91" s="12" t="s">
        <v>930</v>
      </c>
      <c r="H91" s="12" t="s">
        <v>944</v>
      </c>
      <c r="I91" s="12" t="s">
        <v>164</v>
      </c>
      <c r="J91" s="13" t="s">
        <v>106</v>
      </c>
      <c r="K91" s="12" t="s">
        <v>21</v>
      </c>
      <c r="L91" s="12" t="s">
        <v>1222</v>
      </c>
      <c r="M91" s="12" t="s">
        <v>550</v>
      </c>
      <c r="N91" s="12" t="s">
        <v>1223</v>
      </c>
    </row>
    <row r="92" customFormat="false" ht="23.85" hidden="false" customHeight="false" outlineLevel="0" collapsed="false">
      <c r="A92" s="12" t="s">
        <v>1302</v>
      </c>
      <c r="B92" s="12" t="s">
        <v>1124</v>
      </c>
      <c r="C92" s="13"/>
      <c r="D92" s="13"/>
      <c r="E92" s="13" t="s">
        <v>1186</v>
      </c>
      <c r="F92" s="12" t="s">
        <v>1124</v>
      </c>
      <c r="G92" s="12" t="s">
        <v>1118</v>
      </c>
      <c r="H92" s="12" t="s">
        <v>1125</v>
      </c>
      <c r="I92" s="12" t="s">
        <v>499</v>
      </c>
      <c r="J92" s="13" t="s">
        <v>106</v>
      </c>
      <c r="K92" s="12" t="s">
        <v>20</v>
      </c>
      <c r="L92" s="12" t="s">
        <v>1212</v>
      </c>
      <c r="M92" s="12" t="s">
        <v>550</v>
      </c>
      <c r="N92" s="12" t="s">
        <v>1257</v>
      </c>
    </row>
    <row r="93" customFormat="false" ht="23.85" hidden="false" customHeight="false" outlineLevel="0" collapsed="false">
      <c r="A93" s="12" t="s">
        <v>1302</v>
      </c>
      <c r="B93" s="12" t="s">
        <v>1303</v>
      </c>
      <c r="C93" s="13"/>
      <c r="D93" s="13"/>
      <c r="E93" s="13" t="s">
        <v>1186</v>
      </c>
      <c r="F93" s="12" t="s">
        <v>325</v>
      </c>
      <c r="G93" s="12" t="s">
        <v>224</v>
      </c>
      <c r="H93" s="12" t="s">
        <v>326</v>
      </c>
      <c r="I93" s="12" t="s">
        <v>244</v>
      </c>
      <c r="J93" s="13" t="s">
        <v>106</v>
      </c>
      <c r="K93" s="12" t="s">
        <v>20</v>
      </c>
      <c r="L93" s="12" t="s">
        <v>1212</v>
      </c>
      <c r="M93" s="12" t="s">
        <v>550</v>
      </c>
      <c r="N93" s="12" t="s">
        <v>1257</v>
      </c>
    </row>
    <row r="94" customFormat="false" ht="23.85" hidden="false" customHeight="false" outlineLevel="0" collapsed="false">
      <c r="A94" s="12" t="s">
        <v>1302</v>
      </c>
      <c r="B94" s="12" t="s">
        <v>1304</v>
      </c>
      <c r="C94" s="13"/>
      <c r="D94" s="13" t="s">
        <v>1186</v>
      </c>
      <c r="E94" s="13"/>
      <c r="F94" s="12" t="s">
        <v>496</v>
      </c>
      <c r="G94" s="12" t="s">
        <v>463</v>
      </c>
      <c r="H94" s="12" t="s">
        <v>497</v>
      </c>
      <c r="I94" s="12" t="s">
        <v>499</v>
      </c>
      <c r="J94" s="13" t="s">
        <v>106</v>
      </c>
      <c r="K94" s="12" t="s">
        <v>16</v>
      </c>
      <c r="L94" s="12" t="s">
        <v>1198</v>
      </c>
      <c r="M94" s="12" t="s">
        <v>550</v>
      </c>
      <c r="N94" s="12" t="s">
        <v>1197</v>
      </c>
    </row>
    <row r="95" customFormat="false" ht="23.85" hidden="false" customHeight="false" outlineLevel="0" collapsed="false">
      <c r="A95" s="12" t="s">
        <v>1302</v>
      </c>
      <c r="B95" s="12" t="s">
        <v>1253</v>
      </c>
      <c r="C95" s="13" t="s">
        <v>1186</v>
      </c>
      <c r="D95" s="13"/>
      <c r="E95" s="13"/>
      <c r="F95" s="12" t="s">
        <v>146</v>
      </c>
      <c r="G95" s="12" t="s">
        <v>93</v>
      </c>
      <c r="H95" s="12" t="s">
        <v>148</v>
      </c>
      <c r="I95" s="12" t="s">
        <v>153</v>
      </c>
      <c r="J95" s="13" t="s">
        <v>106</v>
      </c>
      <c r="K95" s="17" t="s">
        <v>14</v>
      </c>
      <c r="L95" s="12" t="s">
        <v>1187</v>
      </c>
      <c r="M95" s="12" t="s">
        <v>1305</v>
      </c>
      <c r="N95" s="12" t="s">
        <v>1197</v>
      </c>
    </row>
    <row r="96" customFormat="false" ht="35.05" hidden="false" customHeight="false" outlineLevel="0" collapsed="false">
      <c r="A96" s="12" t="s">
        <v>1302</v>
      </c>
      <c r="B96" s="12" t="s">
        <v>1263</v>
      </c>
      <c r="C96" s="13" t="s">
        <v>1186</v>
      </c>
      <c r="D96" s="13"/>
      <c r="E96" s="13"/>
      <c r="F96" s="12" t="s">
        <v>911</v>
      </c>
      <c r="G96" s="12" t="s">
        <v>897</v>
      </c>
      <c r="H96" s="12" t="s">
        <v>912</v>
      </c>
      <c r="I96" s="12" t="s">
        <v>244</v>
      </c>
      <c r="J96" s="13" t="s">
        <v>244</v>
      </c>
      <c r="K96" s="12" t="s">
        <v>20</v>
      </c>
      <c r="L96" s="12" t="s">
        <v>1264</v>
      </c>
      <c r="M96" s="12" t="s">
        <v>550</v>
      </c>
      <c r="N96" s="12" t="s">
        <v>1217</v>
      </c>
    </row>
    <row r="97" customFormat="false" ht="23.85" hidden="false" customHeight="false" outlineLevel="0" collapsed="false">
      <c r="A97" s="12" t="s">
        <v>1302</v>
      </c>
      <c r="B97" s="12" t="s">
        <v>1253</v>
      </c>
      <c r="C97" s="13" t="s">
        <v>1186</v>
      </c>
      <c r="D97" s="13"/>
      <c r="E97" s="13"/>
      <c r="F97" s="12" t="s">
        <v>146</v>
      </c>
      <c r="G97" s="12" t="s">
        <v>93</v>
      </c>
      <c r="H97" s="12" t="s">
        <v>148</v>
      </c>
      <c r="I97" s="12" t="s">
        <v>153</v>
      </c>
      <c r="J97" s="13" t="s">
        <v>106</v>
      </c>
      <c r="K97" s="17" t="s">
        <v>14</v>
      </c>
      <c r="L97" s="12" t="s">
        <v>1187</v>
      </c>
      <c r="M97" s="12" t="s">
        <v>1305</v>
      </c>
      <c r="N97" s="12" t="s">
        <v>1197</v>
      </c>
    </row>
    <row r="98" customFormat="false" ht="23.85" hidden="false" customHeight="false" outlineLevel="0" collapsed="false">
      <c r="A98" s="12" t="s">
        <v>1302</v>
      </c>
      <c r="B98" s="12" t="s">
        <v>1306</v>
      </c>
      <c r="C98" s="13" t="s">
        <v>1186</v>
      </c>
      <c r="D98" s="13"/>
      <c r="E98" s="13" t="s">
        <v>1186</v>
      </c>
      <c r="F98" s="12" t="s">
        <v>496</v>
      </c>
      <c r="G98" s="12" t="s">
        <v>463</v>
      </c>
      <c r="H98" s="12" t="s">
        <v>497</v>
      </c>
      <c r="I98" s="12" t="s">
        <v>499</v>
      </c>
      <c r="J98" s="13" t="s">
        <v>106</v>
      </c>
      <c r="K98" s="12" t="s">
        <v>16</v>
      </c>
      <c r="L98" s="12" t="s">
        <v>1198</v>
      </c>
      <c r="M98" s="12" t="s">
        <v>550</v>
      </c>
      <c r="N98" s="12" t="s">
        <v>1197</v>
      </c>
    </row>
    <row r="99" customFormat="false" ht="23.85" hidden="false" customHeight="false" outlineLevel="0" collapsed="false">
      <c r="A99" s="12" t="s">
        <v>1302</v>
      </c>
      <c r="B99" s="12" t="s">
        <v>1205</v>
      </c>
      <c r="C99" s="13" t="s">
        <v>1186</v>
      </c>
      <c r="D99" s="13"/>
      <c r="E99" s="13"/>
      <c r="F99" s="12" t="s">
        <v>158</v>
      </c>
      <c r="G99" s="12" t="s">
        <v>93</v>
      </c>
      <c r="H99" s="12" t="s">
        <v>160</v>
      </c>
      <c r="I99" s="12" t="s">
        <v>164</v>
      </c>
      <c r="J99" s="13" t="s">
        <v>106</v>
      </c>
      <c r="K99" s="17" t="s">
        <v>14</v>
      </c>
      <c r="L99" s="12" t="s">
        <v>1187</v>
      </c>
      <c r="M99" s="12" t="s">
        <v>1206</v>
      </c>
      <c r="N99" s="12" t="s">
        <v>1189</v>
      </c>
    </row>
    <row r="100" customFormat="false" ht="23.85" hidden="false" customHeight="false" outlineLevel="0" collapsed="false">
      <c r="A100" s="12" t="s">
        <v>1302</v>
      </c>
      <c r="B100" s="12" t="s">
        <v>1307</v>
      </c>
      <c r="C100" s="13"/>
      <c r="D100" s="13"/>
      <c r="E100" s="13" t="s">
        <v>1186</v>
      </c>
      <c r="F100" s="12" t="s">
        <v>992</v>
      </c>
      <c r="G100" s="12" t="s">
        <v>930</v>
      </c>
      <c r="H100" s="12" t="s">
        <v>978</v>
      </c>
      <c r="I100" s="12" t="s">
        <v>980</v>
      </c>
      <c r="J100" s="13" t="s">
        <v>106</v>
      </c>
      <c r="K100" s="12" t="s">
        <v>21</v>
      </c>
      <c r="L100" s="12" t="s">
        <v>1222</v>
      </c>
      <c r="M100" s="12" t="s">
        <v>550</v>
      </c>
      <c r="N100" s="12" t="s">
        <v>1234</v>
      </c>
    </row>
    <row r="101" customFormat="false" ht="23.85" hidden="false" customHeight="false" outlineLevel="0" collapsed="false">
      <c r="A101" s="12" t="s">
        <v>1302</v>
      </c>
      <c r="B101" s="12" t="s">
        <v>513</v>
      </c>
      <c r="C101" s="13"/>
      <c r="D101" s="13" t="s">
        <v>1186</v>
      </c>
      <c r="E101" s="13"/>
      <c r="F101" s="12" t="s">
        <v>513</v>
      </c>
      <c r="G101" s="12" t="s">
        <v>505</v>
      </c>
      <c r="H101" s="12" t="s">
        <v>514</v>
      </c>
      <c r="I101" s="12" t="s">
        <v>516</v>
      </c>
      <c r="J101" s="13" t="s">
        <v>106</v>
      </c>
      <c r="K101" s="12" t="s">
        <v>20</v>
      </c>
      <c r="L101" s="12" t="s">
        <v>1212</v>
      </c>
      <c r="M101" s="12" t="s">
        <v>550</v>
      </c>
      <c r="N101" s="12" t="s">
        <v>1259</v>
      </c>
    </row>
    <row r="102" customFormat="false" ht="23.85" hidden="false" customHeight="false" outlineLevel="0" collapsed="false">
      <c r="A102" s="12" t="s">
        <v>1302</v>
      </c>
      <c r="B102" s="12" t="s">
        <v>1308</v>
      </c>
      <c r="C102" s="13" t="s">
        <v>1186</v>
      </c>
      <c r="D102" s="13"/>
      <c r="E102" s="13"/>
      <c r="F102" s="12" t="s">
        <v>396</v>
      </c>
      <c r="G102" s="12" t="s">
        <v>344</v>
      </c>
      <c r="H102" s="12" t="s">
        <v>397</v>
      </c>
      <c r="I102" s="12" t="s">
        <v>164</v>
      </c>
      <c r="J102" s="13" t="s">
        <v>106</v>
      </c>
      <c r="K102" s="12" t="s">
        <v>16</v>
      </c>
      <c r="L102" s="12" t="s">
        <v>1198</v>
      </c>
      <c r="M102" s="12" t="s">
        <v>550</v>
      </c>
      <c r="N102" s="12" t="s">
        <v>1213</v>
      </c>
    </row>
    <row r="103" customFormat="false" ht="23.85" hidden="false" customHeight="false" outlineLevel="0" collapsed="false">
      <c r="A103" s="12" t="s">
        <v>1302</v>
      </c>
      <c r="B103" s="12" t="s">
        <v>1309</v>
      </c>
      <c r="C103" s="13"/>
      <c r="D103" s="13"/>
      <c r="E103" s="13" t="s">
        <v>1186</v>
      </c>
      <c r="F103" s="12" t="s">
        <v>519</v>
      </c>
      <c r="G103" s="12" t="s">
        <v>505</v>
      </c>
      <c r="H103" s="12" t="s">
        <v>520</v>
      </c>
      <c r="I103" s="12" t="s">
        <v>522</v>
      </c>
      <c r="J103" s="13" t="s">
        <v>106</v>
      </c>
      <c r="K103" s="12" t="s">
        <v>16</v>
      </c>
      <c r="L103" s="12" t="s">
        <v>1198</v>
      </c>
      <c r="M103" s="12" t="s">
        <v>550</v>
      </c>
      <c r="N103" s="12" t="s">
        <v>1234</v>
      </c>
    </row>
    <row r="104" customFormat="false" ht="23.85" hidden="false" customHeight="false" outlineLevel="0" collapsed="false">
      <c r="A104" s="12" t="s">
        <v>1302</v>
      </c>
      <c r="B104" s="12" t="s">
        <v>1281</v>
      </c>
      <c r="C104" s="13" t="s">
        <v>1186</v>
      </c>
      <c r="D104" s="13" t="s">
        <v>1186</v>
      </c>
      <c r="E104" s="13" t="s">
        <v>1186</v>
      </c>
      <c r="F104" s="12" t="s">
        <v>898</v>
      </c>
      <c r="G104" s="12" t="s">
        <v>897</v>
      </c>
      <c r="H104" s="12" t="s">
        <v>899</v>
      </c>
      <c r="I104" s="12" t="s">
        <v>631</v>
      </c>
      <c r="J104" s="13" t="s">
        <v>106</v>
      </c>
      <c r="K104" s="12" t="s">
        <v>16</v>
      </c>
      <c r="L104" s="12" t="s">
        <v>1198</v>
      </c>
      <c r="M104" s="12" t="s">
        <v>550</v>
      </c>
      <c r="N104" s="12" t="s">
        <v>1223</v>
      </c>
    </row>
    <row r="105" customFormat="false" ht="23.85" hidden="false" customHeight="false" outlineLevel="0" collapsed="false">
      <c r="A105" s="12" t="s">
        <v>1302</v>
      </c>
      <c r="B105" s="12" t="s">
        <v>1310</v>
      </c>
      <c r="C105" s="13"/>
      <c r="D105" s="13" t="s">
        <v>1186</v>
      </c>
      <c r="E105" s="13"/>
      <c r="F105" s="12" t="s">
        <v>464</v>
      </c>
      <c r="G105" s="12" t="s">
        <v>463</v>
      </c>
      <c r="H105" s="12" t="s">
        <v>465</v>
      </c>
      <c r="I105" s="12" t="s">
        <v>469</v>
      </c>
      <c r="J105" s="13" t="s">
        <v>106</v>
      </c>
      <c r="K105" s="12" t="s">
        <v>16</v>
      </c>
      <c r="L105" s="12" t="s">
        <v>1198</v>
      </c>
      <c r="M105" s="12" t="s">
        <v>550</v>
      </c>
      <c r="N105" s="12" t="s">
        <v>1290</v>
      </c>
    </row>
    <row r="106" customFormat="false" ht="23.85" hidden="false" customHeight="false" outlineLevel="0" collapsed="false">
      <c r="A106" s="12" t="s">
        <v>1302</v>
      </c>
      <c r="B106" s="12" t="s">
        <v>1311</v>
      </c>
      <c r="C106" s="13"/>
      <c r="D106" s="13"/>
      <c r="E106" s="13" t="s">
        <v>1186</v>
      </c>
      <c r="F106" s="12" t="s">
        <v>464</v>
      </c>
      <c r="G106" s="12" t="s">
        <v>463</v>
      </c>
      <c r="H106" s="12" t="s">
        <v>465</v>
      </c>
      <c r="I106" s="12" t="s">
        <v>469</v>
      </c>
      <c r="J106" s="13" t="s">
        <v>106</v>
      </c>
      <c r="K106" s="12" t="s">
        <v>16</v>
      </c>
      <c r="L106" s="12" t="s">
        <v>1198</v>
      </c>
      <c r="M106" s="12" t="s">
        <v>550</v>
      </c>
      <c r="N106" s="12" t="s">
        <v>1290</v>
      </c>
    </row>
    <row r="107" customFormat="false" ht="23.85" hidden="false" customHeight="false" outlineLevel="0" collapsed="false">
      <c r="A107" s="12" t="s">
        <v>1302</v>
      </c>
      <c r="B107" s="12" t="s">
        <v>988</v>
      </c>
      <c r="C107" s="13" t="s">
        <v>1186</v>
      </c>
      <c r="D107" s="13"/>
      <c r="E107" s="13"/>
      <c r="F107" s="12" t="s">
        <v>988</v>
      </c>
      <c r="G107" s="12" t="s">
        <v>930</v>
      </c>
      <c r="H107" s="12" t="s">
        <v>989</v>
      </c>
      <c r="I107" s="12" t="s">
        <v>631</v>
      </c>
      <c r="J107" s="13" t="s">
        <v>106</v>
      </c>
      <c r="K107" s="12" t="s">
        <v>21</v>
      </c>
      <c r="L107" s="12" t="s">
        <v>1222</v>
      </c>
      <c r="M107" s="12" t="s">
        <v>550</v>
      </c>
      <c r="N107" s="12" t="s">
        <v>1213</v>
      </c>
    </row>
    <row r="108" customFormat="false" ht="23.85" hidden="false" customHeight="false" outlineLevel="0" collapsed="false">
      <c r="A108" s="12" t="s">
        <v>1312</v>
      </c>
      <c r="B108" s="12" t="s">
        <v>1313</v>
      </c>
      <c r="C108" s="13"/>
      <c r="D108" s="13"/>
      <c r="E108" s="13" t="s">
        <v>1186</v>
      </c>
      <c r="F108" s="12" t="s">
        <v>769</v>
      </c>
      <c r="G108" s="12" t="s">
        <v>740</v>
      </c>
      <c r="H108" s="12" t="s">
        <v>770</v>
      </c>
      <c r="I108" s="12" t="s">
        <v>244</v>
      </c>
      <c r="J108" s="13" t="s">
        <v>106</v>
      </c>
      <c r="K108" s="12" t="s">
        <v>20</v>
      </c>
      <c r="L108" s="12" t="s">
        <v>1212</v>
      </c>
      <c r="M108" s="12" t="s">
        <v>550</v>
      </c>
      <c r="N108" s="12" t="s">
        <v>1257</v>
      </c>
    </row>
    <row r="109" customFormat="false" ht="35.05" hidden="false" customHeight="false" outlineLevel="0" collapsed="false">
      <c r="A109" s="12" t="s">
        <v>1312</v>
      </c>
      <c r="B109" s="12" t="s">
        <v>112</v>
      </c>
      <c r="C109" s="13" t="n">
        <v>211</v>
      </c>
      <c r="D109" s="13" t="n">
        <v>37</v>
      </c>
      <c r="E109" s="13" t="n">
        <v>25</v>
      </c>
      <c r="F109" s="12" t="s">
        <v>112</v>
      </c>
      <c r="G109" s="12" t="s">
        <v>93</v>
      </c>
      <c r="H109" s="12" t="s">
        <v>113</v>
      </c>
      <c r="I109" s="12" t="s">
        <v>118</v>
      </c>
      <c r="J109" s="13" t="s">
        <v>106</v>
      </c>
      <c r="K109" s="17" t="s">
        <v>14</v>
      </c>
      <c r="L109" s="12" t="s">
        <v>1187</v>
      </c>
      <c r="M109" s="12" t="s">
        <v>1314</v>
      </c>
      <c r="N109" s="12" t="s">
        <v>1194</v>
      </c>
    </row>
    <row r="110" customFormat="false" ht="46.25" hidden="false" customHeight="false" outlineLevel="0" collapsed="false">
      <c r="A110" s="12" t="s">
        <v>1312</v>
      </c>
      <c r="B110" s="12" t="s">
        <v>135</v>
      </c>
      <c r="C110" s="13" t="n">
        <v>37</v>
      </c>
      <c r="D110" s="13" t="n">
        <v>19</v>
      </c>
      <c r="E110" s="13" t="n">
        <v>22</v>
      </c>
      <c r="F110" s="12" t="s">
        <v>135</v>
      </c>
      <c r="G110" s="12" t="s">
        <v>93</v>
      </c>
      <c r="H110" s="12" t="s">
        <v>137</v>
      </c>
      <c r="I110" s="12" t="s">
        <v>104</v>
      </c>
      <c r="J110" s="13" t="s">
        <v>106</v>
      </c>
      <c r="K110" s="17" t="s">
        <v>14</v>
      </c>
      <c r="L110" s="12" t="s">
        <v>1187</v>
      </c>
      <c r="M110" s="12" t="s">
        <v>1315</v>
      </c>
      <c r="N110" s="12" t="s">
        <v>1229</v>
      </c>
    </row>
    <row r="111" customFormat="false" ht="23.85" hidden="false" customHeight="false" outlineLevel="0" collapsed="false">
      <c r="A111" s="12" t="s">
        <v>1312</v>
      </c>
      <c r="B111" s="12" t="s">
        <v>1316</v>
      </c>
      <c r="C111" s="13"/>
      <c r="D111" s="13" t="s">
        <v>1186</v>
      </c>
      <c r="E111" s="13"/>
      <c r="F111" s="12" t="s">
        <v>234</v>
      </c>
      <c r="G111" s="12" t="s">
        <v>224</v>
      </c>
      <c r="H111" s="12" t="s">
        <v>236</v>
      </c>
      <c r="I111" s="12" t="s">
        <v>189</v>
      </c>
      <c r="J111" s="13" t="s">
        <v>106</v>
      </c>
      <c r="K111" s="17" t="s">
        <v>14</v>
      </c>
      <c r="L111" s="12" t="s">
        <v>1187</v>
      </c>
      <c r="M111" s="12" t="s">
        <v>1242</v>
      </c>
      <c r="N111" s="12" t="s">
        <v>1317</v>
      </c>
    </row>
    <row r="112" customFormat="false" ht="23.85" hidden="false" customHeight="false" outlineLevel="0" collapsed="false">
      <c r="A112" s="12" t="s">
        <v>1312</v>
      </c>
      <c r="B112" s="12" t="s">
        <v>27</v>
      </c>
      <c r="C112" s="13" t="n">
        <v>3</v>
      </c>
      <c r="D112" s="13" t="n">
        <v>0</v>
      </c>
      <c r="E112" s="13" t="n">
        <v>6</v>
      </c>
      <c r="F112" s="12" t="s">
        <v>241</v>
      </c>
      <c r="G112" s="12" t="s">
        <v>224</v>
      </c>
      <c r="H112" s="12" t="s">
        <v>242</v>
      </c>
      <c r="I112" s="12" t="s">
        <v>244</v>
      </c>
      <c r="J112" s="13" t="s">
        <v>244</v>
      </c>
      <c r="K112" s="12" t="s">
        <v>17</v>
      </c>
      <c r="L112" s="12" t="s">
        <v>1318</v>
      </c>
      <c r="M112" s="12" t="s">
        <v>550</v>
      </c>
      <c r="N112" s="12" t="s">
        <v>1319</v>
      </c>
    </row>
    <row r="113" customFormat="false" ht="23.85" hidden="false" customHeight="false" outlineLevel="0" collapsed="false">
      <c r="A113" s="12" t="s">
        <v>1312</v>
      </c>
      <c r="B113" s="12" t="s">
        <v>1320</v>
      </c>
      <c r="C113" s="13" t="n">
        <v>0</v>
      </c>
      <c r="D113" s="13" t="n">
        <v>0</v>
      </c>
      <c r="E113" s="13" t="n">
        <v>2</v>
      </c>
      <c r="F113" s="12" t="s">
        <v>247</v>
      </c>
      <c r="G113" s="12" t="s">
        <v>224</v>
      </c>
      <c r="H113" s="12" t="s">
        <v>248</v>
      </c>
      <c r="I113" s="12" t="s">
        <v>189</v>
      </c>
      <c r="J113" s="13" t="s">
        <v>106</v>
      </c>
      <c r="K113" s="17" t="s">
        <v>14</v>
      </c>
      <c r="L113" s="12" t="s">
        <v>1187</v>
      </c>
      <c r="M113" s="12" t="s">
        <v>1208</v>
      </c>
      <c r="N113" s="12" t="s">
        <v>1231</v>
      </c>
    </row>
    <row r="114" customFormat="false" ht="23.85" hidden="false" customHeight="false" outlineLevel="0" collapsed="false">
      <c r="A114" s="12" t="s">
        <v>1312</v>
      </c>
      <c r="B114" s="12" t="s">
        <v>1321</v>
      </c>
      <c r="C114" s="13"/>
      <c r="D114" s="13"/>
      <c r="E114" s="13" t="s">
        <v>1186</v>
      </c>
      <c r="F114" s="12" t="s">
        <v>201</v>
      </c>
      <c r="G114" s="12" t="s">
        <v>93</v>
      </c>
      <c r="H114" s="12" t="s">
        <v>202</v>
      </c>
      <c r="I114" s="12" t="s">
        <v>104</v>
      </c>
      <c r="J114" s="13" t="s">
        <v>106</v>
      </c>
      <c r="K114" s="17" t="s">
        <v>14</v>
      </c>
      <c r="L114" s="12" t="s">
        <v>1187</v>
      </c>
      <c r="M114" s="12" t="s">
        <v>1208</v>
      </c>
      <c r="N114" s="12" t="s">
        <v>1231</v>
      </c>
    </row>
    <row r="115" customFormat="false" ht="23.85" hidden="false" customHeight="false" outlineLevel="0" collapsed="false">
      <c r="A115" s="12" t="s">
        <v>1312</v>
      </c>
      <c r="B115" s="12" t="s">
        <v>146</v>
      </c>
      <c r="C115" s="13"/>
      <c r="D115" s="13" t="s">
        <v>1186</v>
      </c>
      <c r="E115" s="13" t="s">
        <v>1186</v>
      </c>
      <c r="F115" s="12" t="s">
        <v>146</v>
      </c>
      <c r="G115" s="12" t="s">
        <v>93</v>
      </c>
      <c r="H115" s="12" t="s">
        <v>148</v>
      </c>
      <c r="I115" s="12" t="s">
        <v>153</v>
      </c>
      <c r="J115" s="13" t="s">
        <v>106</v>
      </c>
      <c r="K115" s="12" t="s">
        <v>16</v>
      </c>
      <c r="L115" s="12" t="s">
        <v>1198</v>
      </c>
      <c r="M115" s="12" t="s">
        <v>550</v>
      </c>
      <c r="N115" s="12" t="s">
        <v>1197</v>
      </c>
    </row>
    <row r="116" customFormat="false" ht="23.85" hidden="false" customHeight="false" outlineLevel="0" collapsed="false">
      <c r="A116" s="12" t="s">
        <v>1312</v>
      </c>
      <c r="B116" s="12" t="s">
        <v>1253</v>
      </c>
      <c r="C116" s="13" t="s">
        <v>1186</v>
      </c>
      <c r="D116" s="13"/>
      <c r="E116" s="13"/>
      <c r="F116" s="12" t="s">
        <v>146</v>
      </c>
      <c r="G116" s="12" t="s">
        <v>93</v>
      </c>
      <c r="H116" s="12" t="s">
        <v>148</v>
      </c>
      <c r="I116" s="12" t="s">
        <v>153</v>
      </c>
      <c r="J116" s="13" t="s">
        <v>106</v>
      </c>
      <c r="K116" s="12" t="s">
        <v>16</v>
      </c>
      <c r="L116" s="12" t="s">
        <v>1198</v>
      </c>
      <c r="M116" s="12" t="s">
        <v>550</v>
      </c>
      <c r="N116" s="12" t="s">
        <v>1197</v>
      </c>
    </row>
    <row r="117" customFormat="false" ht="23.85" hidden="false" customHeight="false" outlineLevel="0" collapsed="false">
      <c r="A117" s="12" t="s">
        <v>1312</v>
      </c>
      <c r="B117" s="12" t="s">
        <v>1199</v>
      </c>
      <c r="C117" s="13"/>
      <c r="D117" s="13" t="s">
        <v>1186</v>
      </c>
      <c r="E117" s="13"/>
      <c r="F117" s="12" t="s">
        <v>146</v>
      </c>
      <c r="G117" s="12" t="s">
        <v>93</v>
      </c>
      <c r="H117" s="12" t="s">
        <v>148</v>
      </c>
      <c r="I117" s="12" t="s">
        <v>153</v>
      </c>
      <c r="J117" s="13" t="s">
        <v>106</v>
      </c>
      <c r="K117" s="12" t="s">
        <v>16</v>
      </c>
      <c r="L117" s="12" t="s">
        <v>1198</v>
      </c>
      <c r="M117" s="12" t="s">
        <v>550</v>
      </c>
      <c r="N117" s="12" t="s">
        <v>1197</v>
      </c>
    </row>
    <row r="118" customFormat="false" ht="35.05" hidden="false" customHeight="false" outlineLevel="0" collapsed="false">
      <c r="A118" s="12" t="s">
        <v>1312</v>
      </c>
      <c r="B118" s="12" t="s">
        <v>1236</v>
      </c>
      <c r="C118" s="13"/>
      <c r="D118" s="13" t="s">
        <v>1186</v>
      </c>
      <c r="E118" s="13"/>
      <c r="F118" s="12" t="s">
        <v>124</v>
      </c>
      <c r="G118" s="12" t="s">
        <v>93</v>
      </c>
      <c r="H118" s="12" t="s">
        <v>126</v>
      </c>
      <c r="I118" s="12" t="s">
        <v>104</v>
      </c>
      <c r="J118" s="13" t="s">
        <v>106</v>
      </c>
      <c r="K118" s="17" t="s">
        <v>14</v>
      </c>
      <c r="L118" s="12" t="s">
        <v>1187</v>
      </c>
      <c r="M118" s="12" t="s">
        <v>1237</v>
      </c>
      <c r="N118" s="12" t="s">
        <v>1189</v>
      </c>
    </row>
    <row r="119" customFormat="false" ht="35.05" hidden="false" customHeight="false" outlineLevel="0" collapsed="false">
      <c r="A119" s="12" t="s">
        <v>1312</v>
      </c>
      <c r="B119" s="12" t="s">
        <v>1201</v>
      </c>
      <c r="C119" s="13" t="n">
        <v>85</v>
      </c>
      <c r="D119" s="13" t="n">
        <v>73</v>
      </c>
      <c r="E119" s="13" t="n">
        <v>25</v>
      </c>
      <c r="F119" s="12" t="s">
        <v>94</v>
      </c>
      <c r="G119" s="12" t="s">
        <v>93</v>
      </c>
      <c r="H119" s="12" t="s">
        <v>97</v>
      </c>
      <c r="I119" s="12" t="s">
        <v>104</v>
      </c>
      <c r="J119" s="13" t="s">
        <v>106</v>
      </c>
      <c r="K119" s="17" t="s">
        <v>14</v>
      </c>
      <c r="L119" s="12" t="s">
        <v>1187</v>
      </c>
      <c r="M119" s="12" t="s">
        <v>1322</v>
      </c>
      <c r="N119" s="12" t="s">
        <v>1189</v>
      </c>
    </row>
    <row r="120" customFormat="false" ht="35.05" hidden="false" customHeight="false" outlineLevel="0" collapsed="false">
      <c r="A120" s="12" t="s">
        <v>1312</v>
      </c>
      <c r="B120" s="12" t="s">
        <v>1323</v>
      </c>
      <c r="C120" s="13" t="n">
        <v>35</v>
      </c>
      <c r="D120" s="13" t="n">
        <v>59</v>
      </c>
      <c r="E120" s="13" t="n">
        <v>13</v>
      </c>
      <c r="F120" s="12" t="s">
        <v>124</v>
      </c>
      <c r="G120" s="12" t="s">
        <v>93</v>
      </c>
      <c r="H120" s="12" t="s">
        <v>126</v>
      </c>
      <c r="I120" s="12" t="s">
        <v>104</v>
      </c>
      <c r="J120" s="13" t="s">
        <v>106</v>
      </c>
      <c r="K120" s="17" t="s">
        <v>14</v>
      </c>
      <c r="L120" s="12" t="s">
        <v>1187</v>
      </c>
      <c r="M120" s="12" t="s">
        <v>1237</v>
      </c>
      <c r="N120" s="12" t="s">
        <v>1189</v>
      </c>
    </row>
    <row r="121" customFormat="false" ht="23.85" hidden="false" customHeight="false" outlineLevel="0" collapsed="false">
      <c r="A121" s="12" t="s">
        <v>1312</v>
      </c>
      <c r="B121" s="12" t="s">
        <v>1250</v>
      </c>
      <c r="C121" s="13" t="s">
        <v>1186</v>
      </c>
      <c r="D121" s="13"/>
      <c r="E121" s="13"/>
      <c r="F121" s="12" t="s">
        <v>506</v>
      </c>
      <c r="G121" s="12" t="s">
        <v>505</v>
      </c>
      <c r="H121" s="12" t="s">
        <v>507</v>
      </c>
      <c r="I121" s="12" t="s">
        <v>509</v>
      </c>
      <c r="J121" s="13" t="s">
        <v>106</v>
      </c>
      <c r="K121" s="12" t="s">
        <v>16</v>
      </c>
      <c r="L121" s="12" t="s">
        <v>1198</v>
      </c>
      <c r="M121" s="12" t="s">
        <v>550</v>
      </c>
      <c r="N121" s="12" t="s">
        <v>1213</v>
      </c>
    </row>
    <row r="122" customFormat="false" ht="23.85" hidden="false" customHeight="false" outlineLevel="0" collapsed="false">
      <c r="A122" s="12" t="s">
        <v>1312</v>
      </c>
      <c r="B122" s="12" t="s">
        <v>1324</v>
      </c>
      <c r="C122" s="13"/>
      <c r="D122" s="13" t="s">
        <v>1186</v>
      </c>
      <c r="E122" s="13"/>
      <c r="F122" s="12" t="s">
        <v>405</v>
      </c>
      <c r="G122" s="12" t="s">
        <v>344</v>
      </c>
      <c r="H122" s="12" t="s">
        <v>406</v>
      </c>
      <c r="I122" s="12" t="s">
        <v>164</v>
      </c>
      <c r="J122" s="13" t="s">
        <v>106</v>
      </c>
      <c r="K122" s="12" t="s">
        <v>16</v>
      </c>
      <c r="L122" s="12" t="s">
        <v>1198</v>
      </c>
      <c r="M122" s="12" t="s">
        <v>550</v>
      </c>
      <c r="N122" s="12" t="s">
        <v>1259</v>
      </c>
    </row>
    <row r="123" customFormat="false" ht="23.85" hidden="false" customHeight="false" outlineLevel="0" collapsed="false">
      <c r="A123" s="12" t="s">
        <v>1312</v>
      </c>
      <c r="B123" s="12" t="s">
        <v>1325</v>
      </c>
      <c r="C123" s="13"/>
      <c r="D123" s="13" t="s">
        <v>1186</v>
      </c>
      <c r="E123" s="13"/>
      <c r="F123" s="12" t="s">
        <v>158</v>
      </c>
      <c r="G123" s="12" t="s">
        <v>93</v>
      </c>
      <c r="H123" s="12" t="s">
        <v>160</v>
      </c>
      <c r="I123" s="12" t="s">
        <v>164</v>
      </c>
      <c r="J123" s="13" t="s">
        <v>106</v>
      </c>
      <c r="K123" s="17" t="s">
        <v>14</v>
      </c>
      <c r="L123" s="12" t="s">
        <v>1187</v>
      </c>
      <c r="M123" s="12" t="s">
        <v>1326</v>
      </c>
      <c r="N123" s="12" t="s">
        <v>1189</v>
      </c>
    </row>
    <row r="124" customFormat="false" ht="23.85" hidden="false" customHeight="false" outlineLevel="0" collapsed="false">
      <c r="A124" s="12" t="s">
        <v>1312</v>
      </c>
      <c r="B124" s="12" t="s">
        <v>1205</v>
      </c>
      <c r="C124" s="13" t="s">
        <v>1186</v>
      </c>
      <c r="D124" s="13"/>
      <c r="E124" s="13"/>
      <c r="F124" s="12" t="s">
        <v>158</v>
      </c>
      <c r="G124" s="12" t="s">
        <v>93</v>
      </c>
      <c r="H124" s="12" t="s">
        <v>160</v>
      </c>
      <c r="I124" s="12" t="s">
        <v>164</v>
      </c>
      <c r="J124" s="13" t="s">
        <v>106</v>
      </c>
      <c r="K124" s="17" t="s">
        <v>14</v>
      </c>
      <c r="L124" s="12" t="s">
        <v>1187</v>
      </c>
      <c r="M124" s="12" t="s">
        <v>1326</v>
      </c>
      <c r="N124" s="12" t="s">
        <v>1189</v>
      </c>
    </row>
    <row r="125" customFormat="false" ht="46.25" hidden="false" customHeight="false" outlineLevel="0" collapsed="false">
      <c r="A125" s="12" t="s">
        <v>1312</v>
      </c>
      <c r="B125" s="12" t="s">
        <v>1207</v>
      </c>
      <c r="C125" s="13"/>
      <c r="D125" s="13"/>
      <c r="E125" s="13" t="s">
        <v>1186</v>
      </c>
      <c r="F125" s="12" t="s">
        <v>217</v>
      </c>
      <c r="G125" s="12" t="s">
        <v>93</v>
      </c>
      <c r="H125" s="12" t="s">
        <v>218</v>
      </c>
      <c r="I125" s="12" t="s">
        <v>177</v>
      </c>
      <c r="J125" s="13" t="s">
        <v>106</v>
      </c>
      <c r="K125" s="12" t="s">
        <v>16</v>
      </c>
      <c r="L125" s="12" t="s">
        <v>1191</v>
      </c>
      <c r="M125" s="12" t="s">
        <v>1242</v>
      </c>
      <c r="N125" s="12" t="s">
        <v>1209</v>
      </c>
    </row>
    <row r="126" customFormat="false" ht="23.85" hidden="false" customHeight="false" outlineLevel="0" collapsed="false">
      <c r="A126" s="12" t="s">
        <v>1312</v>
      </c>
      <c r="B126" s="12" t="s">
        <v>513</v>
      </c>
      <c r="C126" s="13"/>
      <c r="D126" s="13" t="s">
        <v>1186</v>
      </c>
      <c r="E126" s="13"/>
      <c r="F126" s="12" t="s">
        <v>513</v>
      </c>
      <c r="G126" s="12" t="s">
        <v>505</v>
      </c>
      <c r="H126" s="12" t="s">
        <v>514</v>
      </c>
      <c r="I126" s="12" t="s">
        <v>516</v>
      </c>
      <c r="J126" s="13" t="s">
        <v>106</v>
      </c>
      <c r="K126" s="12" t="s">
        <v>20</v>
      </c>
      <c r="L126" s="12" t="s">
        <v>1212</v>
      </c>
      <c r="M126" s="12" t="s">
        <v>550</v>
      </c>
      <c r="N126" s="12" t="s">
        <v>1259</v>
      </c>
    </row>
    <row r="127" customFormat="false" ht="23.85" hidden="false" customHeight="false" outlineLevel="0" collapsed="false">
      <c r="A127" s="12" t="s">
        <v>1312</v>
      </c>
      <c r="B127" s="12" t="s">
        <v>1327</v>
      </c>
      <c r="C127" s="13"/>
      <c r="D127" s="13" t="s">
        <v>1186</v>
      </c>
      <c r="E127" s="13"/>
      <c r="F127" s="12" t="s">
        <v>995</v>
      </c>
      <c r="G127" s="12" t="s">
        <v>930</v>
      </c>
      <c r="H127" s="12" t="s">
        <v>978</v>
      </c>
      <c r="I127" s="12" t="s">
        <v>980</v>
      </c>
      <c r="J127" s="13" t="s">
        <v>106</v>
      </c>
      <c r="K127" s="12" t="s">
        <v>21</v>
      </c>
      <c r="L127" s="12" t="s">
        <v>1222</v>
      </c>
      <c r="M127" s="12" t="s">
        <v>550</v>
      </c>
      <c r="N127" s="12" t="s">
        <v>1328</v>
      </c>
    </row>
    <row r="128" customFormat="false" ht="23.85" hidden="false" customHeight="false" outlineLevel="0" collapsed="false">
      <c r="A128" s="12" t="s">
        <v>1312</v>
      </c>
      <c r="B128" s="12" t="s">
        <v>1329</v>
      </c>
      <c r="C128" s="13"/>
      <c r="D128" s="13"/>
      <c r="E128" s="13" t="s">
        <v>1186</v>
      </c>
      <c r="F128" s="12" t="s">
        <v>995</v>
      </c>
      <c r="G128" s="12" t="s">
        <v>930</v>
      </c>
      <c r="H128" s="12" t="s">
        <v>978</v>
      </c>
      <c r="I128" s="12" t="s">
        <v>980</v>
      </c>
      <c r="J128" s="13" t="s">
        <v>106</v>
      </c>
      <c r="K128" s="12" t="s">
        <v>21</v>
      </c>
      <c r="L128" s="12" t="s">
        <v>1222</v>
      </c>
      <c r="M128" s="12" t="s">
        <v>550</v>
      </c>
      <c r="N128" s="12" t="s">
        <v>1328</v>
      </c>
    </row>
    <row r="129" customFormat="false" ht="23.85" hidden="false" customHeight="false" outlineLevel="0" collapsed="false">
      <c r="A129" s="12" t="s">
        <v>1312</v>
      </c>
      <c r="B129" s="12" t="s">
        <v>1330</v>
      </c>
      <c r="C129" s="13" t="s">
        <v>1186</v>
      </c>
      <c r="D129" s="13"/>
      <c r="E129" s="13"/>
      <c r="F129" s="12" t="s">
        <v>291</v>
      </c>
      <c r="G129" s="12" t="s">
        <v>224</v>
      </c>
      <c r="H129" s="12" t="s">
        <v>292</v>
      </c>
      <c r="I129" s="12" t="s">
        <v>104</v>
      </c>
      <c r="J129" s="13" t="s">
        <v>106</v>
      </c>
      <c r="K129" s="17" t="s">
        <v>14</v>
      </c>
      <c r="L129" s="12" t="s">
        <v>1187</v>
      </c>
      <c r="M129" s="12" t="s">
        <v>1206</v>
      </c>
      <c r="N129" s="12" t="s">
        <v>1319</v>
      </c>
    </row>
    <row r="130" customFormat="false" ht="23.85" hidden="false" customHeight="false" outlineLevel="0" collapsed="false">
      <c r="A130" s="12" t="s">
        <v>1312</v>
      </c>
      <c r="B130" s="12" t="s">
        <v>1331</v>
      </c>
      <c r="C130" s="13" t="s">
        <v>1186</v>
      </c>
      <c r="D130" s="13"/>
      <c r="E130" s="13"/>
      <c r="F130" s="12" t="s">
        <v>1130</v>
      </c>
      <c r="G130" s="12" t="s">
        <v>1118</v>
      </c>
      <c r="H130" s="12" t="s">
        <v>1131</v>
      </c>
      <c r="I130" s="12" t="s">
        <v>164</v>
      </c>
      <c r="J130" s="13" t="s">
        <v>106</v>
      </c>
      <c r="K130" s="12" t="s">
        <v>20</v>
      </c>
      <c r="L130" s="12" t="s">
        <v>1212</v>
      </c>
      <c r="M130" s="12" t="s">
        <v>550</v>
      </c>
      <c r="N130" s="12" t="s">
        <v>1217</v>
      </c>
    </row>
    <row r="131" customFormat="false" ht="23.85" hidden="false" customHeight="false" outlineLevel="0" collapsed="false">
      <c r="A131" s="12" t="s">
        <v>1312</v>
      </c>
      <c r="B131" s="12" t="s">
        <v>1332</v>
      </c>
      <c r="C131" s="13"/>
      <c r="D131" s="13"/>
      <c r="E131" s="13" t="s">
        <v>1186</v>
      </c>
      <c r="F131" s="12" t="s">
        <v>208</v>
      </c>
      <c r="G131" s="12" t="s">
        <v>93</v>
      </c>
      <c r="H131" s="12" t="s">
        <v>209</v>
      </c>
      <c r="I131" s="12" t="s">
        <v>212</v>
      </c>
      <c r="J131" s="13" t="s">
        <v>106</v>
      </c>
      <c r="K131" s="17" t="s">
        <v>14</v>
      </c>
      <c r="L131" s="12" t="s">
        <v>1187</v>
      </c>
      <c r="M131" s="12" t="s">
        <v>1208</v>
      </c>
      <c r="N131" s="12" t="s">
        <v>1226</v>
      </c>
    </row>
    <row r="132" customFormat="false" ht="23.85" hidden="false" customHeight="false" outlineLevel="0" collapsed="false">
      <c r="A132" s="12" t="s">
        <v>1312</v>
      </c>
      <c r="B132" s="12" t="s">
        <v>1333</v>
      </c>
      <c r="C132" s="13" t="s">
        <v>1186</v>
      </c>
      <c r="D132" s="13"/>
      <c r="E132" s="13" t="s">
        <v>1186</v>
      </c>
      <c r="F132" s="12" t="s">
        <v>1148</v>
      </c>
      <c r="G132" s="12" t="s">
        <v>1138</v>
      </c>
      <c r="H132" s="12" t="s">
        <v>1149</v>
      </c>
      <c r="I132" s="12" t="s">
        <v>244</v>
      </c>
      <c r="J132" s="13" t="s">
        <v>244</v>
      </c>
      <c r="K132" s="12" t="s">
        <v>22</v>
      </c>
      <c r="L132" s="12" t="s">
        <v>1334</v>
      </c>
      <c r="M132" s="12" t="s">
        <v>550</v>
      </c>
      <c r="N132" s="12" t="s">
        <v>1296</v>
      </c>
    </row>
    <row r="133" customFormat="false" ht="35.05" hidden="false" customHeight="false" outlineLevel="0" collapsed="false">
      <c r="A133" s="12" t="s">
        <v>1312</v>
      </c>
      <c r="B133" s="12" t="s">
        <v>1335</v>
      </c>
      <c r="C133" s="13"/>
      <c r="D133" s="13"/>
      <c r="E133" s="13" t="s">
        <v>1186</v>
      </c>
      <c r="F133" s="12" t="s">
        <v>340</v>
      </c>
      <c r="G133" s="12" t="s">
        <v>224</v>
      </c>
      <c r="H133" s="12" t="s">
        <v>341</v>
      </c>
      <c r="I133" s="12" t="s">
        <v>244</v>
      </c>
      <c r="J133" s="13" t="s">
        <v>307</v>
      </c>
      <c r="K133" s="12" t="s">
        <v>16</v>
      </c>
      <c r="L133" s="12" t="s">
        <v>1198</v>
      </c>
      <c r="M133" s="12" t="s">
        <v>550</v>
      </c>
      <c r="N133" s="12" t="s">
        <v>1257</v>
      </c>
    </row>
    <row r="134" customFormat="false" ht="23.85" hidden="false" customHeight="false" outlineLevel="0" collapsed="false">
      <c r="A134" s="12" t="s">
        <v>1312</v>
      </c>
      <c r="B134" s="12" t="s">
        <v>1336</v>
      </c>
      <c r="C134" s="13"/>
      <c r="D134" s="13" t="s">
        <v>1186</v>
      </c>
      <c r="E134" s="13"/>
      <c r="F134" s="12" t="s">
        <v>356</v>
      </c>
      <c r="G134" s="12" t="s">
        <v>344</v>
      </c>
      <c r="H134" s="12" t="s">
        <v>358</v>
      </c>
      <c r="I134" s="12" t="s">
        <v>189</v>
      </c>
      <c r="J134" s="13" t="s">
        <v>106</v>
      </c>
      <c r="K134" s="17" t="s">
        <v>14</v>
      </c>
      <c r="L134" s="12" t="s">
        <v>1187</v>
      </c>
      <c r="M134" s="12" t="s">
        <v>1242</v>
      </c>
      <c r="N134" s="12" t="s">
        <v>1337</v>
      </c>
    </row>
    <row r="135" customFormat="false" ht="35.05" hidden="false" customHeight="false" outlineLevel="0" collapsed="false">
      <c r="A135" s="12" t="s">
        <v>1312</v>
      </c>
      <c r="B135" s="12" t="s">
        <v>1338</v>
      </c>
      <c r="C135" s="13"/>
      <c r="D135" s="13"/>
      <c r="E135" s="13" t="s">
        <v>1186</v>
      </c>
      <c r="F135" s="12" t="s">
        <v>340</v>
      </c>
      <c r="G135" s="12" t="s">
        <v>224</v>
      </c>
      <c r="H135" s="12" t="s">
        <v>341</v>
      </c>
      <c r="I135" s="12" t="s">
        <v>244</v>
      </c>
      <c r="J135" s="13" t="s">
        <v>307</v>
      </c>
      <c r="K135" s="12" t="s">
        <v>16</v>
      </c>
      <c r="L135" s="12" t="s">
        <v>1198</v>
      </c>
      <c r="M135" s="12" t="s">
        <v>550</v>
      </c>
      <c r="N135" s="12" t="s">
        <v>1257</v>
      </c>
    </row>
    <row r="136" customFormat="false" ht="35.05" hidden="false" customHeight="false" outlineLevel="0" collapsed="false">
      <c r="A136" s="12" t="s">
        <v>1312</v>
      </c>
      <c r="B136" s="12" t="s">
        <v>225</v>
      </c>
      <c r="C136" s="13" t="n">
        <v>1</v>
      </c>
      <c r="D136" s="13" t="n">
        <v>1</v>
      </c>
      <c r="E136" s="13" t="n">
        <v>3</v>
      </c>
      <c r="F136" s="12" t="s">
        <v>225</v>
      </c>
      <c r="G136" s="12" t="s">
        <v>224</v>
      </c>
      <c r="H136" s="12" t="s">
        <v>227</v>
      </c>
      <c r="I136" s="12" t="s">
        <v>104</v>
      </c>
      <c r="J136" s="13" t="s">
        <v>106</v>
      </c>
      <c r="K136" s="12" t="s">
        <v>16</v>
      </c>
      <c r="L136" s="12" t="s">
        <v>1198</v>
      </c>
      <c r="M136" s="12" t="s">
        <v>550</v>
      </c>
      <c r="N136" s="12" t="s">
        <v>1219</v>
      </c>
    </row>
    <row r="137" customFormat="false" ht="23.85" hidden="false" customHeight="false" outlineLevel="0" collapsed="false">
      <c r="A137" s="12" t="s">
        <v>1312</v>
      </c>
      <c r="B137" s="12" t="s">
        <v>1339</v>
      </c>
      <c r="C137" s="13" t="n">
        <v>0</v>
      </c>
      <c r="D137" s="13" t="n">
        <v>0</v>
      </c>
      <c r="E137" s="13" t="n">
        <v>4</v>
      </c>
      <c r="F137" s="12" t="s">
        <v>286</v>
      </c>
      <c r="G137" s="12" t="s">
        <v>224</v>
      </c>
      <c r="H137" s="12" t="s">
        <v>287</v>
      </c>
      <c r="I137" s="12" t="s">
        <v>189</v>
      </c>
      <c r="J137" s="13" t="s">
        <v>106</v>
      </c>
      <c r="K137" s="12" t="s">
        <v>16</v>
      </c>
      <c r="L137" s="12" t="s">
        <v>1198</v>
      </c>
      <c r="M137" s="12" t="s">
        <v>550</v>
      </c>
      <c r="N137" s="12" t="s">
        <v>1234</v>
      </c>
    </row>
    <row r="138" customFormat="false" ht="23.85" hidden="false" customHeight="false" outlineLevel="0" collapsed="false">
      <c r="A138" s="12" t="s">
        <v>1312</v>
      </c>
      <c r="B138" s="12" t="s">
        <v>1340</v>
      </c>
      <c r="C138" s="13"/>
      <c r="D138" s="13" t="s">
        <v>1186</v>
      </c>
      <c r="E138" s="13"/>
      <c r="F138" s="12" t="s">
        <v>234</v>
      </c>
      <c r="G138" s="12" t="s">
        <v>224</v>
      </c>
      <c r="H138" s="12" t="s">
        <v>236</v>
      </c>
      <c r="I138" s="12" t="s">
        <v>189</v>
      </c>
      <c r="J138" s="13" t="s">
        <v>106</v>
      </c>
      <c r="K138" s="17" t="s">
        <v>14</v>
      </c>
      <c r="L138" s="12" t="s">
        <v>1187</v>
      </c>
      <c r="M138" s="12" t="s">
        <v>1242</v>
      </c>
      <c r="N138" s="12" t="s">
        <v>1317</v>
      </c>
    </row>
    <row r="139" customFormat="false" ht="23.85" hidden="false" customHeight="false" outlineLevel="0" collapsed="false">
      <c r="A139" s="12" t="s">
        <v>1312</v>
      </c>
      <c r="B139" s="12" t="s">
        <v>1311</v>
      </c>
      <c r="C139" s="13" t="s">
        <v>1186</v>
      </c>
      <c r="D139" s="13"/>
      <c r="E139" s="13" t="s">
        <v>1186</v>
      </c>
      <c r="F139" s="12" t="s">
        <v>464</v>
      </c>
      <c r="G139" s="12" t="s">
        <v>463</v>
      </c>
      <c r="H139" s="12" t="s">
        <v>465</v>
      </c>
      <c r="I139" s="12" t="s">
        <v>469</v>
      </c>
      <c r="J139" s="13" t="s">
        <v>106</v>
      </c>
      <c r="K139" s="18" t="s">
        <v>15</v>
      </c>
      <c r="L139" s="12" t="s">
        <v>1273</v>
      </c>
      <c r="M139" s="12" t="s">
        <v>1208</v>
      </c>
      <c r="N139" s="12" t="s">
        <v>1290</v>
      </c>
    </row>
    <row r="140" customFormat="false" ht="23.85" hidden="false" customHeight="false" outlineLevel="0" collapsed="false">
      <c r="A140" s="12" t="s">
        <v>1312</v>
      </c>
      <c r="B140" s="12" t="s">
        <v>1341</v>
      </c>
      <c r="C140" s="13" t="s">
        <v>1186</v>
      </c>
      <c r="D140" s="13"/>
      <c r="E140" s="13" t="s">
        <v>1186</v>
      </c>
      <c r="F140" s="12" t="s">
        <v>464</v>
      </c>
      <c r="G140" s="12" t="s">
        <v>463</v>
      </c>
      <c r="H140" s="12" t="s">
        <v>465</v>
      </c>
      <c r="I140" s="12" t="s">
        <v>469</v>
      </c>
      <c r="J140" s="13" t="s">
        <v>106</v>
      </c>
      <c r="K140" s="18" t="s">
        <v>15</v>
      </c>
      <c r="L140" s="12" t="s">
        <v>1273</v>
      </c>
      <c r="M140" s="12" t="s">
        <v>1208</v>
      </c>
      <c r="N140" s="12" t="s">
        <v>1290</v>
      </c>
    </row>
    <row r="141" customFormat="false" ht="46.25" hidden="false" customHeight="false" outlineLevel="0" collapsed="false">
      <c r="A141" s="12" t="s">
        <v>1312</v>
      </c>
      <c r="B141" s="12" t="s">
        <v>1342</v>
      </c>
      <c r="C141" s="13"/>
      <c r="D141" s="13"/>
      <c r="E141" s="13" t="s">
        <v>1186</v>
      </c>
      <c r="F141" s="12" t="s">
        <v>1171</v>
      </c>
      <c r="G141" s="12" t="s">
        <v>1158</v>
      </c>
      <c r="H141" s="12" t="s">
        <v>1172</v>
      </c>
      <c r="I141" s="12" t="s">
        <v>244</v>
      </c>
      <c r="J141" s="13" t="s">
        <v>244</v>
      </c>
      <c r="K141" s="12" t="s">
        <v>24</v>
      </c>
      <c r="L141" s="12" t="s">
        <v>1233</v>
      </c>
      <c r="M141" s="12" t="s">
        <v>550</v>
      </c>
      <c r="N141" s="12" t="s">
        <v>321</v>
      </c>
    </row>
    <row r="142" customFormat="false" ht="23.85" hidden="false" customHeight="false" outlineLevel="0" collapsed="false">
      <c r="A142" s="12" t="s">
        <v>1312</v>
      </c>
      <c r="B142" s="12" t="s">
        <v>297</v>
      </c>
      <c r="C142" s="13" t="n">
        <v>3</v>
      </c>
      <c r="D142" s="13" t="n">
        <v>0</v>
      </c>
      <c r="E142" s="13" t="n">
        <v>0</v>
      </c>
      <c r="F142" s="12" t="s">
        <v>297</v>
      </c>
      <c r="G142" s="12" t="s">
        <v>224</v>
      </c>
      <c r="H142" s="12" t="s">
        <v>248</v>
      </c>
      <c r="I142" s="12" t="s">
        <v>189</v>
      </c>
      <c r="J142" s="13" t="s">
        <v>106</v>
      </c>
      <c r="K142" s="17" t="s">
        <v>14</v>
      </c>
      <c r="L142" s="12" t="s">
        <v>1187</v>
      </c>
      <c r="M142" s="12" t="s">
        <v>1206</v>
      </c>
      <c r="N142" s="12" t="s">
        <v>1343</v>
      </c>
    </row>
    <row r="143" customFormat="false" ht="35.05" hidden="false" customHeight="false" outlineLevel="0" collapsed="false">
      <c r="A143" s="12" t="s">
        <v>1312</v>
      </c>
      <c r="B143" s="12" t="s">
        <v>1344</v>
      </c>
      <c r="C143" s="13" t="s">
        <v>1186</v>
      </c>
      <c r="D143" s="13"/>
      <c r="E143" s="13"/>
      <c r="F143" s="12" t="s">
        <v>332</v>
      </c>
      <c r="G143" s="12" t="s">
        <v>224</v>
      </c>
      <c r="H143" s="12" t="s">
        <v>334</v>
      </c>
      <c r="I143" s="12" t="s">
        <v>244</v>
      </c>
      <c r="J143" s="13" t="s">
        <v>106</v>
      </c>
      <c r="K143" s="12" t="s">
        <v>20</v>
      </c>
      <c r="L143" s="12" t="s">
        <v>1212</v>
      </c>
      <c r="M143" s="12" t="s">
        <v>550</v>
      </c>
      <c r="N143" s="12" t="s">
        <v>1296</v>
      </c>
    </row>
    <row r="144" customFormat="false" ht="23.85" hidden="false" customHeight="false" outlineLevel="0" collapsed="false">
      <c r="A144" s="12" t="s">
        <v>1312</v>
      </c>
      <c r="B144" s="12" t="s">
        <v>772</v>
      </c>
      <c r="C144" s="13" t="s">
        <v>1186</v>
      </c>
      <c r="D144" s="13"/>
      <c r="E144" s="13"/>
      <c r="F144" s="12" t="s">
        <v>772</v>
      </c>
      <c r="G144" s="12" t="s">
        <v>740</v>
      </c>
      <c r="H144" s="12" t="s">
        <v>773</v>
      </c>
      <c r="I144" s="12" t="s">
        <v>244</v>
      </c>
      <c r="J144" s="13" t="s">
        <v>106</v>
      </c>
      <c r="K144" s="12" t="s">
        <v>20</v>
      </c>
      <c r="L144" s="12" t="s">
        <v>1212</v>
      </c>
      <c r="M144" s="12" t="s">
        <v>550</v>
      </c>
      <c r="N144" s="12" t="s">
        <v>1217</v>
      </c>
    </row>
    <row r="145" customFormat="false" ht="23.85" hidden="false" customHeight="false" outlineLevel="0" collapsed="false">
      <c r="A145" s="12" t="s">
        <v>1312</v>
      </c>
      <c r="B145" s="12" t="s">
        <v>1345</v>
      </c>
      <c r="C145" s="13" t="n">
        <v>0</v>
      </c>
      <c r="D145" s="13" t="n">
        <v>14</v>
      </c>
      <c r="E145" s="13" t="n">
        <v>0</v>
      </c>
      <c r="F145" s="12" t="s">
        <v>234</v>
      </c>
      <c r="G145" s="12" t="s">
        <v>224</v>
      </c>
      <c r="H145" s="12" t="s">
        <v>236</v>
      </c>
      <c r="I145" s="12" t="s">
        <v>189</v>
      </c>
      <c r="J145" s="13" t="s">
        <v>106</v>
      </c>
      <c r="K145" s="17" t="s">
        <v>14</v>
      </c>
      <c r="L145" s="12" t="s">
        <v>1187</v>
      </c>
      <c r="M145" s="12" t="s">
        <v>1242</v>
      </c>
      <c r="N145" s="12" t="s">
        <v>1317</v>
      </c>
    </row>
    <row r="146" customFormat="false" ht="35.05" hidden="false" customHeight="false" outlineLevel="0" collapsed="false">
      <c r="A146" s="12" t="s">
        <v>1312</v>
      </c>
      <c r="B146" s="12" t="s">
        <v>1346</v>
      </c>
      <c r="C146" s="13"/>
      <c r="D146" s="13"/>
      <c r="E146" s="13" t="s">
        <v>1186</v>
      </c>
      <c r="F146" s="12" t="s">
        <v>340</v>
      </c>
      <c r="G146" s="12" t="s">
        <v>224</v>
      </c>
      <c r="H146" s="12" t="s">
        <v>341</v>
      </c>
      <c r="I146" s="12" t="s">
        <v>244</v>
      </c>
      <c r="J146" s="13" t="s">
        <v>307</v>
      </c>
      <c r="K146" s="12" t="s">
        <v>16</v>
      </c>
      <c r="L146" s="12" t="s">
        <v>1198</v>
      </c>
      <c r="M146" s="12" t="s">
        <v>550</v>
      </c>
      <c r="N146" s="12" t="s">
        <v>1257</v>
      </c>
    </row>
    <row r="147" customFormat="false" ht="46.25" hidden="false" customHeight="false" outlineLevel="0" collapsed="false">
      <c r="A147" s="12" t="s">
        <v>1312</v>
      </c>
      <c r="B147" s="12" t="s">
        <v>1214</v>
      </c>
      <c r="C147" s="13" t="n">
        <v>1</v>
      </c>
      <c r="D147" s="13" t="n">
        <v>9</v>
      </c>
      <c r="E147" s="13" t="n">
        <v>4</v>
      </c>
      <c r="F147" s="12" t="s">
        <v>171</v>
      </c>
      <c r="G147" s="12" t="s">
        <v>93</v>
      </c>
      <c r="H147" s="12" t="s">
        <v>173</v>
      </c>
      <c r="I147" s="12" t="s">
        <v>177</v>
      </c>
      <c r="J147" s="13" t="s">
        <v>106</v>
      </c>
      <c r="K147" s="18" t="s">
        <v>15</v>
      </c>
      <c r="L147" s="12" t="s">
        <v>1273</v>
      </c>
      <c r="M147" s="12" t="s">
        <v>1347</v>
      </c>
      <c r="N147" s="12" t="s">
        <v>1209</v>
      </c>
    </row>
    <row r="148" customFormat="false" ht="35.05" hidden="false" customHeight="false" outlineLevel="0" collapsed="false">
      <c r="A148" s="12" t="s">
        <v>1312</v>
      </c>
      <c r="B148" s="12" t="s">
        <v>1348</v>
      </c>
      <c r="C148" s="13"/>
      <c r="D148" s="13"/>
      <c r="E148" s="13" t="s">
        <v>1186</v>
      </c>
      <c r="F148" s="12" t="s">
        <v>340</v>
      </c>
      <c r="G148" s="12" t="s">
        <v>224</v>
      </c>
      <c r="H148" s="12" t="s">
        <v>341</v>
      </c>
      <c r="I148" s="12" t="s">
        <v>244</v>
      </c>
      <c r="J148" s="13" t="s">
        <v>307</v>
      </c>
      <c r="K148" s="12" t="s">
        <v>16</v>
      </c>
      <c r="L148" s="12" t="s">
        <v>1198</v>
      </c>
      <c r="M148" s="12" t="s">
        <v>550</v>
      </c>
      <c r="N148" s="12" t="s">
        <v>1257</v>
      </c>
    </row>
    <row r="149" customFormat="false" ht="35.05" hidden="false" customHeight="false" outlineLevel="0" collapsed="false">
      <c r="A149" s="12" t="s">
        <v>1312</v>
      </c>
      <c r="B149" s="12" t="s">
        <v>1349</v>
      </c>
      <c r="C149" s="13" t="n">
        <v>7</v>
      </c>
      <c r="D149" s="13" t="n">
        <v>24</v>
      </c>
      <c r="E149" s="13" t="n">
        <v>5</v>
      </c>
      <c r="F149" s="12" t="s">
        <v>183</v>
      </c>
      <c r="G149" s="12" t="s">
        <v>93</v>
      </c>
      <c r="H149" s="12" t="s">
        <v>185</v>
      </c>
      <c r="I149" s="12" t="s">
        <v>189</v>
      </c>
      <c r="J149" s="13" t="s">
        <v>106</v>
      </c>
      <c r="K149" s="18" t="s">
        <v>15</v>
      </c>
      <c r="L149" s="12" t="s">
        <v>1273</v>
      </c>
      <c r="M149" s="12" t="s">
        <v>1350</v>
      </c>
      <c r="N149" s="12" t="s">
        <v>1219</v>
      </c>
    </row>
    <row r="150" customFormat="false" ht="23.85" hidden="false" customHeight="false" outlineLevel="0" collapsed="false">
      <c r="A150" s="12" t="s">
        <v>1351</v>
      </c>
      <c r="B150" s="12" t="s">
        <v>942</v>
      </c>
      <c r="C150" s="13"/>
      <c r="D150" s="13" t="s">
        <v>1186</v>
      </c>
      <c r="E150" s="13"/>
      <c r="F150" s="12" t="s">
        <v>942</v>
      </c>
      <c r="G150" s="12" t="s">
        <v>930</v>
      </c>
      <c r="H150" s="12" t="s">
        <v>944</v>
      </c>
      <c r="I150" s="12" t="s">
        <v>164</v>
      </c>
      <c r="J150" s="13" t="s">
        <v>106</v>
      </c>
      <c r="K150" s="12" t="s">
        <v>21</v>
      </c>
      <c r="L150" s="12" t="s">
        <v>1222</v>
      </c>
      <c r="M150" s="12" t="s">
        <v>550</v>
      </c>
      <c r="N150" s="12" t="s">
        <v>1223</v>
      </c>
    </row>
    <row r="151" customFormat="false" ht="35.05" hidden="false" customHeight="false" outlineLevel="0" collapsed="false">
      <c r="A151" s="12" t="s">
        <v>1351</v>
      </c>
      <c r="B151" s="12" t="s">
        <v>112</v>
      </c>
      <c r="C151" s="13"/>
      <c r="D151" s="13"/>
      <c r="E151" s="13" t="s">
        <v>1186</v>
      </c>
      <c r="F151" s="12" t="s">
        <v>112</v>
      </c>
      <c r="G151" s="12" t="s">
        <v>93</v>
      </c>
      <c r="H151" s="12" t="s">
        <v>113</v>
      </c>
      <c r="I151" s="12" t="s">
        <v>118</v>
      </c>
      <c r="J151" s="13" t="s">
        <v>106</v>
      </c>
      <c r="K151" s="17" t="s">
        <v>14</v>
      </c>
      <c r="L151" s="12" t="s">
        <v>1187</v>
      </c>
      <c r="M151" s="12" t="s">
        <v>1352</v>
      </c>
      <c r="N151" s="12" t="s">
        <v>1194</v>
      </c>
    </row>
    <row r="152" customFormat="false" ht="35.05" hidden="false" customHeight="false" outlineLevel="0" collapsed="false">
      <c r="A152" s="12" t="s">
        <v>1351</v>
      </c>
      <c r="B152" s="12" t="s">
        <v>112</v>
      </c>
      <c r="C152" s="13"/>
      <c r="D152" s="13"/>
      <c r="E152" s="13" t="s">
        <v>1186</v>
      </c>
      <c r="F152" s="12" t="s">
        <v>112</v>
      </c>
      <c r="G152" s="12" t="s">
        <v>93</v>
      </c>
      <c r="H152" s="12" t="s">
        <v>113</v>
      </c>
      <c r="I152" s="12" t="s">
        <v>118</v>
      </c>
      <c r="J152" s="13" t="s">
        <v>106</v>
      </c>
      <c r="K152" s="17" t="s">
        <v>14</v>
      </c>
      <c r="L152" s="12" t="s">
        <v>1187</v>
      </c>
      <c r="M152" s="12" t="s">
        <v>1352</v>
      </c>
      <c r="N152" s="12" t="s">
        <v>1194</v>
      </c>
    </row>
    <row r="153" customFormat="false" ht="23.85" hidden="false" customHeight="false" outlineLevel="0" collapsed="false">
      <c r="A153" s="12" t="s">
        <v>1351</v>
      </c>
      <c r="B153" s="12" t="s">
        <v>1353</v>
      </c>
      <c r="C153" s="13"/>
      <c r="D153" s="13"/>
      <c r="E153" s="13" t="s">
        <v>1186</v>
      </c>
      <c r="F153" s="12" t="s">
        <v>201</v>
      </c>
      <c r="G153" s="12" t="s">
        <v>93</v>
      </c>
      <c r="H153" s="12" t="s">
        <v>202</v>
      </c>
      <c r="I153" s="12" t="s">
        <v>104</v>
      </c>
      <c r="J153" s="13" t="s">
        <v>106</v>
      </c>
      <c r="K153" s="17" t="s">
        <v>14</v>
      </c>
      <c r="L153" s="12" t="s">
        <v>1187</v>
      </c>
      <c r="M153" s="12" t="s">
        <v>1254</v>
      </c>
      <c r="N153" s="12" t="s">
        <v>1231</v>
      </c>
    </row>
    <row r="154" customFormat="false" ht="23.85" hidden="false" customHeight="false" outlineLevel="0" collapsed="false">
      <c r="A154" s="12" t="s">
        <v>1351</v>
      </c>
      <c r="B154" s="12" t="s">
        <v>1354</v>
      </c>
      <c r="C154" s="13"/>
      <c r="D154" s="13" t="s">
        <v>1186</v>
      </c>
      <c r="E154" s="13"/>
      <c r="F154" s="12" t="s">
        <v>931</v>
      </c>
      <c r="G154" s="12" t="s">
        <v>930</v>
      </c>
      <c r="H154" s="12" t="s">
        <v>933</v>
      </c>
      <c r="I154" s="12" t="s">
        <v>457</v>
      </c>
      <c r="J154" s="13" t="s">
        <v>106</v>
      </c>
      <c r="K154" s="12" t="s">
        <v>21</v>
      </c>
      <c r="L154" s="12" t="s">
        <v>1222</v>
      </c>
      <c r="M154" s="12" t="s">
        <v>550</v>
      </c>
      <c r="N154" s="12" t="s">
        <v>1197</v>
      </c>
    </row>
    <row r="155" customFormat="false" ht="23.85" hidden="false" customHeight="false" outlineLevel="0" collapsed="false">
      <c r="A155" s="12" t="s">
        <v>1351</v>
      </c>
      <c r="B155" s="12" t="s">
        <v>1355</v>
      </c>
      <c r="C155" s="13"/>
      <c r="D155" s="13" t="s">
        <v>1186</v>
      </c>
      <c r="E155" s="13"/>
      <c r="F155" s="12" t="s">
        <v>480</v>
      </c>
      <c r="G155" s="12" t="s">
        <v>463</v>
      </c>
      <c r="H155" s="12" t="s">
        <v>481</v>
      </c>
      <c r="I155" s="12" t="s">
        <v>484</v>
      </c>
      <c r="J155" s="13" t="s">
        <v>106</v>
      </c>
      <c r="K155" s="17" t="s">
        <v>14</v>
      </c>
      <c r="L155" s="12" t="s">
        <v>1187</v>
      </c>
      <c r="M155" s="12" t="s">
        <v>1326</v>
      </c>
      <c r="N155" s="12" t="s">
        <v>1189</v>
      </c>
    </row>
    <row r="156" customFormat="false" ht="35.05" hidden="false" customHeight="false" outlineLevel="0" collapsed="false">
      <c r="A156" s="12" t="s">
        <v>1351</v>
      </c>
      <c r="B156" s="12" t="s">
        <v>1190</v>
      </c>
      <c r="C156" s="13"/>
      <c r="D156" s="13" t="s">
        <v>1186</v>
      </c>
      <c r="E156" s="13"/>
      <c r="F156" s="12" t="s">
        <v>94</v>
      </c>
      <c r="G156" s="12" t="s">
        <v>93</v>
      </c>
      <c r="H156" s="12" t="s">
        <v>97</v>
      </c>
      <c r="I156" s="12" t="s">
        <v>104</v>
      </c>
      <c r="J156" s="13" t="s">
        <v>106</v>
      </c>
      <c r="K156" s="17" t="s">
        <v>14</v>
      </c>
      <c r="L156" s="12" t="s">
        <v>1187</v>
      </c>
      <c r="M156" s="12" t="s">
        <v>1322</v>
      </c>
      <c r="N156" s="12" t="s">
        <v>1189</v>
      </c>
    </row>
    <row r="157" customFormat="false" ht="35.05" hidden="false" customHeight="false" outlineLevel="0" collapsed="false">
      <c r="A157" s="12" t="s">
        <v>1351</v>
      </c>
      <c r="B157" s="12" t="s">
        <v>1190</v>
      </c>
      <c r="C157" s="13" t="s">
        <v>1186</v>
      </c>
      <c r="D157" s="13"/>
      <c r="E157" s="13"/>
      <c r="F157" s="12" t="s">
        <v>94</v>
      </c>
      <c r="G157" s="12" t="s">
        <v>93</v>
      </c>
      <c r="H157" s="12" t="s">
        <v>97</v>
      </c>
      <c r="I157" s="12" t="s">
        <v>104</v>
      </c>
      <c r="J157" s="13" t="s">
        <v>106</v>
      </c>
      <c r="K157" s="17" t="s">
        <v>14</v>
      </c>
      <c r="L157" s="12" t="s">
        <v>1187</v>
      </c>
      <c r="M157" s="12" t="s">
        <v>1322</v>
      </c>
      <c r="N157" s="12" t="s">
        <v>1189</v>
      </c>
    </row>
    <row r="158" customFormat="false" ht="23.85" hidden="false" customHeight="false" outlineLevel="0" collapsed="false">
      <c r="A158" s="12" t="s">
        <v>1351</v>
      </c>
      <c r="B158" s="12" t="s">
        <v>1356</v>
      </c>
      <c r="C158" s="13"/>
      <c r="D158" s="13" t="s">
        <v>1186</v>
      </c>
      <c r="E158" s="13"/>
      <c r="F158" s="12" t="s">
        <v>274</v>
      </c>
      <c r="G158" s="12" t="s">
        <v>224</v>
      </c>
      <c r="H158" s="12" t="s">
        <v>276</v>
      </c>
      <c r="I158" s="12" t="s">
        <v>189</v>
      </c>
      <c r="J158" s="13" t="s">
        <v>106</v>
      </c>
      <c r="K158" s="12" t="s">
        <v>16</v>
      </c>
      <c r="L158" s="12" t="s">
        <v>1198</v>
      </c>
      <c r="M158" s="12" t="s">
        <v>550</v>
      </c>
      <c r="N158" s="12" t="s">
        <v>1243</v>
      </c>
    </row>
    <row r="159" customFormat="false" ht="23.85" hidden="false" customHeight="false" outlineLevel="0" collapsed="false">
      <c r="A159" s="12" t="s">
        <v>1351</v>
      </c>
      <c r="B159" s="12" t="s">
        <v>1246</v>
      </c>
      <c r="C159" s="13"/>
      <c r="D159" s="13"/>
      <c r="E159" s="13" t="s">
        <v>1186</v>
      </c>
      <c r="F159" s="12" t="s">
        <v>931</v>
      </c>
      <c r="G159" s="12" t="s">
        <v>930</v>
      </c>
      <c r="H159" s="12" t="s">
        <v>933</v>
      </c>
      <c r="I159" s="12" t="s">
        <v>457</v>
      </c>
      <c r="J159" s="13" t="s">
        <v>106</v>
      </c>
      <c r="K159" s="12" t="s">
        <v>21</v>
      </c>
      <c r="L159" s="12" t="s">
        <v>1222</v>
      </c>
      <c r="M159" s="12" t="s">
        <v>550</v>
      </c>
      <c r="N159" s="12" t="s">
        <v>1197</v>
      </c>
    </row>
    <row r="160" customFormat="false" ht="23.85" hidden="false" customHeight="false" outlineLevel="0" collapsed="false">
      <c r="A160" s="12" t="s">
        <v>1351</v>
      </c>
      <c r="B160" s="12" t="s">
        <v>1357</v>
      </c>
      <c r="C160" s="13"/>
      <c r="D160" s="13" t="s">
        <v>1186</v>
      </c>
      <c r="E160" s="13"/>
      <c r="F160" s="12" t="s">
        <v>1001</v>
      </c>
      <c r="G160" s="12" t="s">
        <v>930</v>
      </c>
      <c r="H160" s="12" t="s">
        <v>978</v>
      </c>
      <c r="I160" s="12" t="s">
        <v>675</v>
      </c>
      <c r="J160" s="13" t="s">
        <v>106</v>
      </c>
      <c r="K160" s="12" t="s">
        <v>21</v>
      </c>
      <c r="L160" s="12" t="s">
        <v>1222</v>
      </c>
      <c r="M160" s="12" t="s">
        <v>550</v>
      </c>
      <c r="N160" s="12" t="s">
        <v>1245</v>
      </c>
    </row>
    <row r="161" customFormat="false" ht="23.85" hidden="false" customHeight="false" outlineLevel="0" collapsed="false">
      <c r="A161" s="12" t="s">
        <v>1351</v>
      </c>
      <c r="B161" s="12" t="s">
        <v>1358</v>
      </c>
      <c r="C161" s="13"/>
      <c r="D161" s="13" t="s">
        <v>1186</v>
      </c>
      <c r="E161" s="13"/>
      <c r="F161" s="12" t="s">
        <v>1001</v>
      </c>
      <c r="G161" s="12" t="s">
        <v>930</v>
      </c>
      <c r="H161" s="12" t="s">
        <v>978</v>
      </c>
      <c r="I161" s="12" t="s">
        <v>675</v>
      </c>
      <c r="J161" s="13" t="s">
        <v>106</v>
      </c>
      <c r="K161" s="12" t="s">
        <v>21</v>
      </c>
      <c r="L161" s="12" t="s">
        <v>1222</v>
      </c>
      <c r="M161" s="12" t="s">
        <v>550</v>
      </c>
      <c r="N161" s="12" t="s">
        <v>1245</v>
      </c>
    </row>
    <row r="162" customFormat="false" ht="23.85" hidden="false" customHeight="false" outlineLevel="0" collapsed="false">
      <c r="A162" s="12" t="s">
        <v>1351</v>
      </c>
      <c r="B162" s="12" t="s">
        <v>1359</v>
      </c>
      <c r="C162" s="13"/>
      <c r="D162" s="13"/>
      <c r="E162" s="13" t="s">
        <v>1186</v>
      </c>
      <c r="F162" s="12" t="s">
        <v>208</v>
      </c>
      <c r="G162" s="12" t="s">
        <v>93</v>
      </c>
      <c r="H162" s="12" t="s">
        <v>209</v>
      </c>
      <c r="I162" s="12" t="s">
        <v>212</v>
      </c>
      <c r="J162" s="13" t="s">
        <v>106</v>
      </c>
      <c r="K162" s="17" t="s">
        <v>14</v>
      </c>
      <c r="L162" s="12" t="s">
        <v>1187</v>
      </c>
      <c r="M162" s="12" t="s">
        <v>1208</v>
      </c>
      <c r="N162" s="12" t="s">
        <v>1226</v>
      </c>
    </row>
    <row r="163" customFormat="false" ht="23.85" hidden="false" customHeight="false" outlineLevel="0" collapsed="false">
      <c r="A163" s="12" t="s">
        <v>1351</v>
      </c>
      <c r="B163" s="12" t="s">
        <v>1360</v>
      </c>
      <c r="C163" s="13"/>
      <c r="D163" s="13" t="s">
        <v>1186</v>
      </c>
      <c r="E163" s="13"/>
      <c r="F163" s="12" t="s">
        <v>208</v>
      </c>
      <c r="G163" s="12" t="s">
        <v>93</v>
      </c>
      <c r="H163" s="12" t="s">
        <v>209</v>
      </c>
      <c r="I163" s="12" t="s">
        <v>212</v>
      </c>
      <c r="J163" s="13" t="s">
        <v>106</v>
      </c>
      <c r="K163" s="12" t="s">
        <v>16</v>
      </c>
      <c r="L163" s="12" t="s">
        <v>1191</v>
      </c>
      <c r="M163" s="12" t="s">
        <v>1208</v>
      </c>
      <c r="N163" s="12" t="s">
        <v>1226</v>
      </c>
    </row>
    <row r="164" customFormat="false" ht="46.25" hidden="false" customHeight="false" outlineLevel="0" collapsed="false">
      <c r="A164" s="12" t="s">
        <v>1351</v>
      </c>
      <c r="B164" s="12" t="s">
        <v>1361</v>
      </c>
      <c r="C164" s="13"/>
      <c r="D164" s="13"/>
      <c r="E164" s="13" t="s">
        <v>1186</v>
      </c>
      <c r="F164" s="12" t="s">
        <v>1018</v>
      </c>
      <c r="G164" s="12" t="s">
        <v>930</v>
      </c>
      <c r="H164" s="12" t="s">
        <v>1019</v>
      </c>
      <c r="I164" s="12" t="s">
        <v>327</v>
      </c>
      <c r="J164" s="13" t="s">
        <v>106</v>
      </c>
      <c r="K164" s="12" t="s">
        <v>21</v>
      </c>
      <c r="L164" s="12" t="s">
        <v>1269</v>
      </c>
      <c r="M164" s="12" t="s">
        <v>550</v>
      </c>
      <c r="N164" s="12" t="s">
        <v>1223</v>
      </c>
    </row>
    <row r="165" customFormat="false" ht="46.25" hidden="false" customHeight="false" outlineLevel="0" collapsed="false">
      <c r="A165" s="12" t="s">
        <v>1351</v>
      </c>
      <c r="B165" s="12" t="s">
        <v>1362</v>
      </c>
      <c r="C165" s="13"/>
      <c r="D165" s="13" t="s">
        <v>1186</v>
      </c>
      <c r="E165" s="13"/>
      <c r="F165" s="12" t="s">
        <v>1018</v>
      </c>
      <c r="G165" s="12" t="s">
        <v>930</v>
      </c>
      <c r="H165" s="12" t="s">
        <v>1019</v>
      </c>
      <c r="I165" s="12" t="s">
        <v>327</v>
      </c>
      <c r="J165" s="13" t="s">
        <v>106</v>
      </c>
      <c r="K165" s="12" t="s">
        <v>21</v>
      </c>
      <c r="L165" s="12" t="s">
        <v>1269</v>
      </c>
      <c r="M165" s="12" t="s">
        <v>550</v>
      </c>
      <c r="N165" s="12" t="s">
        <v>1223</v>
      </c>
    </row>
    <row r="166" customFormat="false" ht="46.25" hidden="false" customHeight="false" outlineLevel="0" collapsed="false">
      <c r="A166" s="12" t="s">
        <v>1351</v>
      </c>
      <c r="B166" s="12" t="s">
        <v>1363</v>
      </c>
      <c r="C166" s="13"/>
      <c r="D166" s="13" t="s">
        <v>1186</v>
      </c>
      <c r="E166" s="13"/>
      <c r="F166" s="12" t="s">
        <v>1018</v>
      </c>
      <c r="G166" s="12" t="s">
        <v>930</v>
      </c>
      <c r="H166" s="12" t="s">
        <v>1019</v>
      </c>
      <c r="I166" s="12" t="s">
        <v>327</v>
      </c>
      <c r="J166" s="13" t="s">
        <v>106</v>
      </c>
      <c r="K166" s="12" t="s">
        <v>21</v>
      </c>
      <c r="L166" s="12" t="s">
        <v>1269</v>
      </c>
      <c r="M166" s="12" t="s">
        <v>550</v>
      </c>
      <c r="N166" s="12" t="s">
        <v>1223</v>
      </c>
    </row>
    <row r="167" customFormat="false" ht="23.85" hidden="false" customHeight="false" outlineLevel="0" collapsed="false">
      <c r="A167" s="12" t="s">
        <v>1351</v>
      </c>
      <c r="B167" s="12" t="s">
        <v>1341</v>
      </c>
      <c r="C167" s="13"/>
      <c r="D167" s="13"/>
      <c r="E167" s="13" t="s">
        <v>1186</v>
      </c>
      <c r="F167" s="12" t="s">
        <v>464</v>
      </c>
      <c r="G167" s="12" t="s">
        <v>463</v>
      </c>
      <c r="H167" s="12" t="s">
        <v>465</v>
      </c>
      <c r="I167" s="12" t="s">
        <v>469</v>
      </c>
      <c r="J167" s="13" t="s">
        <v>106</v>
      </c>
      <c r="K167" s="17" t="s">
        <v>14</v>
      </c>
      <c r="L167" s="12" t="s">
        <v>1187</v>
      </c>
      <c r="M167" s="12" t="s">
        <v>1208</v>
      </c>
      <c r="N167" s="12" t="s">
        <v>1290</v>
      </c>
    </row>
    <row r="168" customFormat="false" ht="46.25" hidden="false" customHeight="false" outlineLevel="0" collapsed="false">
      <c r="A168" s="12" t="s">
        <v>1351</v>
      </c>
      <c r="B168" s="12" t="s">
        <v>1364</v>
      </c>
      <c r="C168" s="13"/>
      <c r="D168" s="13"/>
      <c r="E168" s="13" t="s">
        <v>1186</v>
      </c>
      <c r="F168" s="12" t="s">
        <v>1171</v>
      </c>
      <c r="G168" s="12" t="s">
        <v>1158</v>
      </c>
      <c r="H168" s="12" t="s">
        <v>1172</v>
      </c>
      <c r="I168" s="12" t="s">
        <v>244</v>
      </c>
      <c r="J168" s="13" t="s">
        <v>244</v>
      </c>
      <c r="K168" s="12" t="s">
        <v>24</v>
      </c>
      <c r="L168" s="12" t="s">
        <v>1233</v>
      </c>
      <c r="M168" s="12" t="s">
        <v>550</v>
      </c>
      <c r="N168" s="12" t="s">
        <v>321</v>
      </c>
    </row>
    <row r="169" customFormat="false" ht="35.05" hidden="false" customHeight="false" outlineLevel="0" collapsed="false">
      <c r="A169" s="12" t="s">
        <v>1351</v>
      </c>
      <c r="B169" s="12" t="s">
        <v>1365</v>
      </c>
      <c r="C169" s="13"/>
      <c r="D169" s="13"/>
      <c r="E169" s="13" t="s">
        <v>1186</v>
      </c>
      <c r="F169" s="12" t="s">
        <v>183</v>
      </c>
      <c r="G169" s="12" t="s">
        <v>93</v>
      </c>
      <c r="H169" s="12" t="s">
        <v>185</v>
      </c>
      <c r="I169" s="12" t="s">
        <v>189</v>
      </c>
      <c r="J169" s="13" t="s">
        <v>106</v>
      </c>
      <c r="K169" s="17" t="s">
        <v>14</v>
      </c>
      <c r="L169" s="12" t="s">
        <v>1187</v>
      </c>
      <c r="M169" s="12" t="s">
        <v>1352</v>
      </c>
      <c r="N169" s="12" t="s">
        <v>1219</v>
      </c>
    </row>
    <row r="170" customFormat="false" ht="23.85" hidden="false" customHeight="false" outlineLevel="0" collapsed="false">
      <c r="A170" s="12" t="s">
        <v>1351</v>
      </c>
      <c r="B170" s="12" t="s">
        <v>1297</v>
      </c>
      <c r="C170" s="13"/>
      <c r="D170" s="13" t="s">
        <v>1186</v>
      </c>
      <c r="E170" s="13"/>
      <c r="F170" s="12" t="s">
        <v>954</v>
      </c>
      <c r="G170" s="12" t="s">
        <v>930</v>
      </c>
      <c r="H170" s="12" t="s">
        <v>955</v>
      </c>
      <c r="I170" s="12" t="s">
        <v>164</v>
      </c>
      <c r="J170" s="13" t="s">
        <v>106</v>
      </c>
      <c r="K170" s="12" t="s">
        <v>21</v>
      </c>
      <c r="L170" s="12" t="s">
        <v>1222</v>
      </c>
      <c r="M170" s="12" t="s">
        <v>550</v>
      </c>
      <c r="N170" s="12" t="s">
        <v>1294</v>
      </c>
    </row>
    <row r="171" customFormat="false" ht="35.05" hidden="false" customHeight="false" outlineLevel="0" collapsed="false">
      <c r="A171" s="12" t="s">
        <v>1366</v>
      </c>
      <c r="B171" s="12" t="s">
        <v>1367</v>
      </c>
      <c r="C171" s="13" t="s">
        <v>1186</v>
      </c>
      <c r="D171" s="13"/>
      <c r="E171" s="13"/>
      <c r="F171" s="12" t="s">
        <v>112</v>
      </c>
      <c r="G171" s="12" t="s">
        <v>93</v>
      </c>
      <c r="H171" s="12" t="s">
        <v>113</v>
      </c>
      <c r="I171" s="12" t="s">
        <v>118</v>
      </c>
      <c r="J171" s="13" t="s">
        <v>106</v>
      </c>
      <c r="K171" s="12" t="s">
        <v>16</v>
      </c>
      <c r="L171" s="12" t="s">
        <v>1198</v>
      </c>
      <c r="M171" s="12" t="s">
        <v>550</v>
      </c>
      <c r="N171" s="12" t="s">
        <v>1194</v>
      </c>
    </row>
    <row r="172" customFormat="false" ht="23.85" hidden="false" customHeight="false" outlineLevel="0" collapsed="false">
      <c r="A172" s="12" t="s">
        <v>1366</v>
      </c>
      <c r="B172" s="12" t="s">
        <v>146</v>
      </c>
      <c r="C172" s="13"/>
      <c r="D172" s="13" t="s">
        <v>1186</v>
      </c>
      <c r="E172" s="13"/>
      <c r="F172" s="12" t="s">
        <v>146</v>
      </c>
      <c r="G172" s="12" t="s">
        <v>93</v>
      </c>
      <c r="H172" s="12" t="s">
        <v>148</v>
      </c>
      <c r="I172" s="12" t="s">
        <v>153</v>
      </c>
      <c r="J172" s="13" t="s">
        <v>106</v>
      </c>
      <c r="K172" s="12" t="s">
        <v>16</v>
      </c>
      <c r="L172" s="12" t="s">
        <v>1198</v>
      </c>
      <c r="M172" s="12" t="s">
        <v>550</v>
      </c>
      <c r="N172" s="12" t="s">
        <v>1197</v>
      </c>
    </row>
    <row r="173" customFormat="false" ht="23.85" hidden="false" customHeight="false" outlineLevel="0" collapsed="false">
      <c r="A173" s="12" t="s">
        <v>1366</v>
      </c>
      <c r="B173" s="12" t="s">
        <v>146</v>
      </c>
      <c r="C173" s="13"/>
      <c r="D173" s="13"/>
      <c r="E173" s="13" t="s">
        <v>1186</v>
      </c>
      <c r="F173" s="12" t="s">
        <v>146</v>
      </c>
      <c r="G173" s="12" t="s">
        <v>93</v>
      </c>
      <c r="H173" s="12" t="s">
        <v>148</v>
      </c>
      <c r="I173" s="12" t="s">
        <v>153</v>
      </c>
      <c r="J173" s="13" t="s">
        <v>106</v>
      </c>
      <c r="K173" s="12" t="s">
        <v>16</v>
      </c>
      <c r="L173" s="12" t="s">
        <v>1198</v>
      </c>
      <c r="M173" s="12" t="s">
        <v>550</v>
      </c>
      <c r="N173" s="12" t="s">
        <v>1197</v>
      </c>
    </row>
    <row r="174" customFormat="false" ht="23.85" hidden="false" customHeight="false" outlineLevel="0" collapsed="false">
      <c r="A174" s="12" t="s">
        <v>1366</v>
      </c>
      <c r="B174" s="12" t="s">
        <v>1200</v>
      </c>
      <c r="C174" s="13" t="s">
        <v>1186</v>
      </c>
      <c r="D174" s="13"/>
      <c r="E174" s="13"/>
      <c r="F174" s="12" t="s">
        <v>146</v>
      </c>
      <c r="G174" s="12" t="s">
        <v>93</v>
      </c>
      <c r="H174" s="12" t="s">
        <v>148</v>
      </c>
      <c r="I174" s="12" t="s">
        <v>153</v>
      </c>
      <c r="J174" s="13" t="s">
        <v>106</v>
      </c>
      <c r="K174" s="12" t="s">
        <v>16</v>
      </c>
      <c r="L174" s="12" t="s">
        <v>1198</v>
      </c>
      <c r="M174" s="12" t="s">
        <v>550</v>
      </c>
      <c r="N174" s="12" t="s">
        <v>1197</v>
      </c>
    </row>
    <row r="175" customFormat="false" ht="35.05" hidden="false" customHeight="false" outlineLevel="0" collapsed="false">
      <c r="A175" s="12" t="s">
        <v>1366</v>
      </c>
      <c r="B175" s="12" t="s">
        <v>1190</v>
      </c>
      <c r="C175" s="13" t="s">
        <v>1186</v>
      </c>
      <c r="D175" s="13"/>
      <c r="E175" s="13"/>
      <c r="F175" s="12" t="s">
        <v>94</v>
      </c>
      <c r="G175" s="12" t="s">
        <v>93</v>
      </c>
      <c r="H175" s="12" t="s">
        <v>97</v>
      </c>
      <c r="I175" s="12" t="s">
        <v>104</v>
      </c>
      <c r="J175" s="13" t="s">
        <v>106</v>
      </c>
      <c r="K175" s="12" t="s">
        <v>16</v>
      </c>
      <c r="L175" s="12" t="s">
        <v>1198</v>
      </c>
      <c r="M175" s="12" t="s">
        <v>550</v>
      </c>
      <c r="N175" s="12" t="s">
        <v>1189</v>
      </c>
    </row>
    <row r="176" customFormat="false" ht="23.85" hidden="false" customHeight="false" outlineLevel="0" collapsed="false">
      <c r="A176" s="12" t="s">
        <v>1366</v>
      </c>
      <c r="B176" s="12" t="s">
        <v>1359</v>
      </c>
      <c r="C176" s="13"/>
      <c r="D176" s="13"/>
      <c r="E176" s="13" t="s">
        <v>1186</v>
      </c>
      <c r="F176" s="12" t="s">
        <v>208</v>
      </c>
      <c r="G176" s="12" t="s">
        <v>93</v>
      </c>
      <c r="H176" s="12" t="s">
        <v>209</v>
      </c>
      <c r="I176" s="12" t="s">
        <v>212</v>
      </c>
      <c r="J176" s="13" t="s">
        <v>106</v>
      </c>
      <c r="K176" s="12" t="s">
        <v>16</v>
      </c>
      <c r="L176" s="12" t="s">
        <v>1198</v>
      </c>
      <c r="M176" s="12" t="s">
        <v>550</v>
      </c>
      <c r="N176" s="12" t="s">
        <v>1226</v>
      </c>
    </row>
    <row r="177" customFormat="false" ht="23.85" hidden="false" customHeight="false" outlineLevel="0" collapsed="false">
      <c r="A177" s="12" t="s">
        <v>1366</v>
      </c>
      <c r="B177" s="12" t="s">
        <v>1368</v>
      </c>
      <c r="C177" s="13"/>
      <c r="D177" s="13"/>
      <c r="E177" s="13" t="s">
        <v>1186</v>
      </c>
      <c r="F177" s="12" t="s">
        <v>464</v>
      </c>
      <c r="G177" s="12" t="s">
        <v>463</v>
      </c>
      <c r="H177" s="12" t="s">
        <v>465</v>
      </c>
      <c r="I177" s="12" t="s">
        <v>469</v>
      </c>
      <c r="J177" s="13" t="s">
        <v>106</v>
      </c>
      <c r="K177" s="12" t="s">
        <v>16</v>
      </c>
      <c r="L177" s="12" t="s">
        <v>1198</v>
      </c>
      <c r="M177" s="12" t="s">
        <v>550</v>
      </c>
      <c r="N177" s="12" t="s">
        <v>1290</v>
      </c>
    </row>
    <row r="178" customFormat="false" ht="23.85" hidden="false" customHeight="false" outlineLevel="0" collapsed="false">
      <c r="A178" s="12" t="s">
        <v>1366</v>
      </c>
      <c r="B178" s="12" t="s">
        <v>1369</v>
      </c>
      <c r="C178" s="13"/>
      <c r="D178" s="13" t="s">
        <v>1186</v>
      </c>
      <c r="E178" s="13"/>
      <c r="F178" s="12" t="s">
        <v>464</v>
      </c>
      <c r="G178" s="12" t="s">
        <v>463</v>
      </c>
      <c r="H178" s="12" t="s">
        <v>465</v>
      </c>
      <c r="I178" s="12" t="s">
        <v>469</v>
      </c>
      <c r="J178" s="13" t="s">
        <v>106</v>
      </c>
      <c r="K178" s="12" t="s">
        <v>16</v>
      </c>
      <c r="L178" s="12" t="s">
        <v>1198</v>
      </c>
      <c r="M178" s="12" t="s">
        <v>550</v>
      </c>
      <c r="N178" s="12" t="s">
        <v>1290</v>
      </c>
    </row>
    <row r="179" customFormat="false" ht="68.65" hidden="false" customHeight="false" outlineLevel="0" collapsed="false">
      <c r="A179" s="12" t="s">
        <v>1370</v>
      </c>
      <c r="B179" s="12" t="s">
        <v>1371</v>
      </c>
      <c r="C179" s="13"/>
      <c r="D179" s="13"/>
      <c r="E179" s="13" t="s">
        <v>1186</v>
      </c>
      <c r="F179" s="12" t="s">
        <v>1139</v>
      </c>
      <c r="G179" s="12" t="s">
        <v>1138</v>
      </c>
      <c r="H179" s="12" t="s">
        <v>1140</v>
      </c>
      <c r="I179" s="12" t="s">
        <v>244</v>
      </c>
      <c r="J179" s="13" t="s">
        <v>244</v>
      </c>
      <c r="K179" s="12" t="s">
        <v>22</v>
      </c>
      <c r="L179" s="12" t="s">
        <v>1196</v>
      </c>
      <c r="M179" s="12" t="s">
        <v>550</v>
      </c>
      <c r="N179" s="12" t="s">
        <v>1197</v>
      </c>
    </row>
    <row r="180" customFormat="false" ht="68.65" hidden="false" customHeight="false" outlineLevel="0" collapsed="false">
      <c r="A180" s="12" t="s">
        <v>1370</v>
      </c>
      <c r="B180" s="12" t="s">
        <v>1372</v>
      </c>
      <c r="C180" s="13" t="s">
        <v>1186</v>
      </c>
      <c r="D180" s="13" t="s">
        <v>1186</v>
      </c>
      <c r="E180" s="13"/>
      <c r="F180" s="12" t="s">
        <v>1139</v>
      </c>
      <c r="G180" s="12" t="s">
        <v>1138</v>
      </c>
      <c r="H180" s="12" t="s">
        <v>1140</v>
      </c>
      <c r="I180" s="12" t="s">
        <v>244</v>
      </c>
      <c r="J180" s="13" t="s">
        <v>244</v>
      </c>
      <c r="K180" s="12" t="s">
        <v>22</v>
      </c>
      <c r="L180" s="12" t="s">
        <v>1196</v>
      </c>
      <c r="M180" s="12" t="s">
        <v>550</v>
      </c>
      <c r="N180" s="12" t="s">
        <v>1197</v>
      </c>
    </row>
    <row r="181" customFormat="false" ht="23.85" hidden="false" customHeight="false" outlineLevel="0" collapsed="false">
      <c r="A181" s="12" t="s">
        <v>1370</v>
      </c>
      <c r="B181" s="12" t="s">
        <v>1199</v>
      </c>
      <c r="C181" s="13"/>
      <c r="D181" s="13" t="s">
        <v>1186</v>
      </c>
      <c r="E181" s="13"/>
      <c r="F181" s="12" t="s">
        <v>146</v>
      </c>
      <c r="G181" s="12" t="s">
        <v>93</v>
      </c>
      <c r="H181" s="12" t="s">
        <v>148</v>
      </c>
      <c r="I181" s="12" t="s">
        <v>153</v>
      </c>
      <c r="J181" s="13" t="s">
        <v>106</v>
      </c>
      <c r="K181" s="12" t="s">
        <v>16</v>
      </c>
      <c r="L181" s="12" t="s">
        <v>1198</v>
      </c>
      <c r="M181" s="12" t="s">
        <v>550</v>
      </c>
      <c r="N181" s="12" t="s">
        <v>1197</v>
      </c>
    </row>
    <row r="182" customFormat="false" ht="23.85" hidden="false" customHeight="false" outlineLevel="0" collapsed="false">
      <c r="A182" s="12" t="s">
        <v>1370</v>
      </c>
      <c r="B182" s="12" t="s">
        <v>1253</v>
      </c>
      <c r="C182" s="13" t="s">
        <v>1186</v>
      </c>
      <c r="D182" s="13"/>
      <c r="E182" s="13"/>
      <c r="F182" s="12" t="s">
        <v>146</v>
      </c>
      <c r="G182" s="12" t="s">
        <v>93</v>
      </c>
      <c r="H182" s="12" t="s">
        <v>148</v>
      </c>
      <c r="I182" s="12" t="s">
        <v>153</v>
      </c>
      <c r="J182" s="13" t="s">
        <v>106</v>
      </c>
      <c r="K182" s="12" t="s">
        <v>16</v>
      </c>
      <c r="L182" s="12" t="s">
        <v>1198</v>
      </c>
      <c r="M182" s="12" t="s">
        <v>550</v>
      </c>
      <c r="N182" s="12" t="s">
        <v>1197</v>
      </c>
    </row>
    <row r="183" customFormat="false" ht="23.85" hidden="false" customHeight="false" outlineLevel="0" collapsed="false">
      <c r="A183" s="12" t="s">
        <v>1370</v>
      </c>
      <c r="B183" s="12" t="s">
        <v>146</v>
      </c>
      <c r="C183" s="13"/>
      <c r="D183" s="13"/>
      <c r="E183" s="13" t="s">
        <v>1186</v>
      </c>
      <c r="F183" s="12" t="s">
        <v>146</v>
      </c>
      <c r="G183" s="12" t="s">
        <v>93</v>
      </c>
      <c r="H183" s="12" t="s">
        <v>148</v>
      </c>
      <c r="I183" s="12" t="s">
        <v>153</v>
      </c>
      <c r="J183" s="13" t="s">
        <v>106</v>
      </c>
      <c r="K183" s="12" t="s">
        <v>16</v>
      </c>
      <c r="L183" s="12" t="s">
        <v>1198</v>
      </c>
      <c r="M183" s="12" t="s">
        <v>550</v>
      </c>
      <c r="N183" s="12" t="s">
        <v>1197</v>
      </c>
    </row>
    <row r="184" customFormat="false" ht="23.85" hidden="false" customHeight="false" outlineLevel="0" collapsed="false">
      <c r="A184" s="12" t="s">
        <v>1370</v>
      </c>
      <c r="B184" s="12" t="s">
        <v>1373</v>
      </c>
      <c r="C184" s="13"/>
      <c r="D184" s="13"/>
      <c r="E184" s="13" t="s">
        <v>1186</v>
      </c>
      <c r="F184" s="12" t="s">
        <v>1119</v>
      </c>
      <c r="G184" s="12" t="s">
        <v>1118</v>
      </c>
      <c r="H184" s="12" t="s">
        <v>1120</v>
      </c>
      <c r="I184" s="12" t="s">
        <v>499</v>
      </c>
      <c r="J184" s="13" t="s">
        <v>106</v>
      </c>
      <c r="K184" s="12" t="s">
        <v>20</v>
      </c>
      <c r="L184" s="12" t="s">
        <v>1212</v>
      </c>
      <c r="M184" s="12" t="s">
        <v>550</v>
      </c>
      <c r="N184" s="12" t="s">
        <v>1234</v>
      </c>
    </row>
    <row r="185" customFormat="false" ht="35.05" hidden="false" customHeight="false" outlineLevel="0" collapsed="false">
      <c r="A185" s="12" t="s">
        <v>1370</v>
      </c>
      <c r="B185" s="12" t="s">
        <v>1190</v>
      </c>
      <c r="C185" s="13"/>
      <c r="D185" s="13" t="s">
        <v>1186</v>
      </c>
      <c r="E185" s="13" t="s">
        <v>1186</v>
      </c>
      <c r="F185" s="12" t="s">
        <v>94</v>
      </c>
      <c r="G185" s="12" t="s">
        <v>93</v>
      </c>
      <c r="H185" s="12" t="s">
        <v>97</v>
      </c>
      <c r="I185" s="12" t="s">
        <v>104</v>
      </c>
      <c r="J185" s="13" t="s">
        <v>106</v>
      </c>
      <c r="K185" s="18" t="s">
        <v>15</v>
      </c>
      <c r="L185" s="12" t="s">
        <v>1273</v>
      </c>
      <c r="M185" s="12" t="s">
        <v>1374</v>
      </c>
      <c r="N185" s="12" t="s">
        <v>1189</v>
      </c>
    </row>
    <row r="186" customFormat="false" ht="35.05" hidden="false" customHeight="false" outlineLevel="0" collapsed="false">
      <c r="A186" s="12" t="s">
        <v>1370</v>
      </c>
      <c r="B186" s="12" t="s">
        <v>1375</v>
      </c>
      <c r="C186" s="13" t="s">
        <v>1186</v>
      </c>
      <c r="D186" s="13"/>
      <c r="E186" s="13"/>
      <c r="F186" s="12" t="s">
        <v>1151</v>
      </c>
      <c r="G186" s="12" t="s">
        <v>1138</v>
      </c>
      <c r="H186" s="12" t="s">
        <v>1152</v>
      </c>
      <c r="I186" s="12" t="s">
        <v>244</v>
      </c>
      <c r="J186" s="13" t="s">
        <v>244</v>
      </c>
      <c r="K186" s="12" t="s">
        <v>22</v>
      </c>
      <c r="L186" s="12" t="s">
        <v>1271</v>
      </c>
      <c r="M186" s="12" t="s">
        <v>550</v>
      </c>
      <c r="N186" s="12" t="s">
        <v>1223</v>
      </c>
    </row>
    <row r="187" customFormat="false" ht="68.65" hidden="false" customHeight="false" outlineLevel="0" collapsed="false">
      <c r="A187" s="12" t="s">
        <v>1370</v>
      </c>
      <c r="B187" s="12" t="s">
        <v>1251</v>
      </c>
      <c r="C187" s="13"/>
      <c r="D187" s="13" t="s">
        <v>1186</v>
      </c>
      <c r="E187" s="13" t="s">
        <v>1186</v>
      </c>
      <c r="F187" s="12" t="s">
        <v>1139</v>
      </c>
      <c r="G187" s="12" t="s">
        <v>1138</v>
      </c>
      <c r="H187" s="12" t="s">
        <v>1140</v>
      </c>
      <c r="I187" s="12" t="s">
        <v>244</v>
      </c>
      <c r="J187" s="13" t="s">
        <v>244</v>
      </c>
      <c r="K187" s="12" t="s">
        <v>22</v>
      </c>
      <c r="L187" s="12" t="s">
        <v>1196</v>
      </c>
      <c r="M187" s="12" t="s">
        <v>550</v>
      </c>
      <c r="N187" s="12" t="s">
        <v>1197</v>
      </c>
    </row>
    <row r="188" customFormat="false" ht="68.65" hidden="false" customHeight="false" outlineLevel="0" collapsed="false">
      <c r="A188" s="12" t="s">
        <v>1370</v>
      </c>
      <c r="B188" s="12" t="s">
        <v>1252</v>
      </c>
      <c r="C188" s="13" t="s">
        <v>1186</v>
      </c>
      <c r="D188" s="13"/>
      <c r="E188" s="13"/>
      <c r="F188" s="12" t="s">
        <v>1139</v>
      </c>
      <c r="G188" s="12" t="s">
        <v>1138</v>
      </c>
      <c r="H188" s="12" t="s">
        <v>1140</v>
      </c>
      <c r="I188" s="12" t="s">
        <v>244</v>
      </c>
      <c r="J188" s="13" t="s">
        <v>244</v>
      </c>
      <c r="K188" s="12" t="s">
        <v>22</v>
      </c>
      <c r="L188" s="12" t="s">
        <v>1196</v>
      </c>
      <c r="M188" s="12" t="s">
        <v>550</v>
      </c>
      <c r="N188" s="12" t="s">
        <v>1197</v>
      </c>
    </row>
    <row r="189" customFormat="false" ht="23.85" hidden="false" customHeight="false" outlineLevel="0" collapsed="false">
      <c r="A189" s="12" t="s">
        <v>1370</v>
      </c>
      <c r="B189" s="12" t="s">
        <v>1265</v>
      </c>
      <c r="C189" s="13" t="s">
        <v>1186</v>
      </c>
      <c r="D189" s="13"/>
      <c r="E189" s="13"/>
      <c r="F189" s="12" t="s">
        <v>1004</v>
      </c>
      <c r="G189" s="12" t="s">
        <v>930</v>
      </c>
      <c r="H189" s="12" t="s">
        <v>1005</v>
      </c>
      <c r="I189" s="12" t="s">
        <v>244</v>
      </c>
      <c r="J189" s="13" t="s">
        <v>106</v>
      </c>
      <c r="K189" s="12" t="s">
        <v>21</v>
      </c>
      <c r="L189" s="12" t="s">
        <v>1222</v>
      </c>
      <c r="M189" s="12" t="s">
        <v>550</v>
      </c>
      <c r="N189" s="12" t="s">
        <v>1217</v>
      </c>
    </row>
    <row r="190" customFormat="false" ht="35.05" hidden="false" customHeight="false" outlineLevel="0" collapsed="false">
      <c r="A190" s="12" t="s">
        <v>1370</v>
      </c>
      <c r="B190" s="12" t="s">
        <v>1272</v>
      </c>
      <c r="C190" s="13"/>
      <c r="D190" s="13"/>
      <c r="E190" s="13" t="s">
        <v>1186</v>
      </c>
      <c r="F190" s="12" t="s">
        <v>345</v>
      </c>
      <c r="G190" s="12" t="s">
        <v>344</v>
      </c>
      <c r="H190" s="12" t="s">
        <v>347</v>
      </c>
      <c r="I190" s="12" t="s">
        <v>351</v>
      </c>
      <c r="J190" s="13" t="s">
        <v>106</v>
      </c>
      <c r="K190" s="17" t="s">
        <v>14</v>
      </c>
      <c r="L190" s="12" t="s">
        <v>1187</v>
      </c>
      <c r="M190" s="12" t="s">
        <v>1208</v>
      </c>
      <c r="N190" s="12" t="s">
        <v>1274</v>
      </c>
    </row>
    <row r="191" customFormat="false" ht="23.85" hidden="false" customHeight="false" outlineLevel="0" collapsed="false">
      <c r="A191" s="12" t="s">
        <v>1370</v>
      </c>
      <c r="B191" s="12" t="s">
        <v>1292</v>
      </c>
      <c r="C191" s="13" t="s">
        <v>1186</v>
      </c>
      <c r="D191" s="13"/>
      <c r="E191" s="13"/>
      <c r="F191" s="12" t="s">
        <v>392</v>
      </c>
      <c r="G191" s="12" t="s">
        <v>344</v>
      </c>
      <c r="H191" s="12" t="s">
        <v>393</v>
      </c>
      <c r="I191" s="12" t="s">
        <v>164</v>
      </c>
      <c r="J191" s="13" t="s">
        <v>106</v>
      </c>
      <c r="K191" s="12" t="s">
        <v>20</v>
      </c>
      <c r="L191" s="12" t="s">
        <v>1212</v>
      </c>
      <c r="M191" s="12" t="s">
        <v>550</v>
      </c>
      <c r="N191" s="12" t="s">
        <v>1213</v>
      </c>
    </row>
    <row r="192" customFormat="false" ht="35.05" hidden="false" customHeight="false" outlineLevel="0" collapsed="false">
      <c r="A192" s="12" t="s">
        <v>1376</v>
      </c>
      <c r="B192" s="12" t="s">
        <v>112</v>
      </c>
      <c r="C192" s="13" t="s">
        <v>1186</v>
      </c>
      <c r="D192" s="13"/>
      <c r="E192" s="13"/>
      <c r="F192" s="12" t="s">
        <v>112</v>
      </c>
      <c r="G192" s="12" t="s">
        <v>93</v>
      </c>
      <c r="H192" s="12" t="s">
        <v>113</v>
      </c>
      <c r="I192" s="12" t="s">
        <v>118</v>
      </c>
      <c r="J192" s="13" t="s">
        <v>106</v>
      </c>
      <c r="K192" s="17" t="s">
        <v>14</v>
      </c>
      <c r="L192" s="12" t="s">
        <v>1187</v>
      </c>
      <c r="M192" s="12" t="s">
        <v>1193</v>
      </c>
      <c r="N192" s="12" t="s">
        <v>1194</v>
      </c>
    </row>
    <row r="193" customFormat="false" ht="23.85" hidden="false" customHeight="false" outlineLevel="0" collapsed="false">
      <c r="A193" s="12" t="s">
        <v>1376</v>
      </c>
      <c r="B193" s="12" t="s">
        <v>1377</v>
      </c>
      <c r="C193" s="13"/>
      <c r="D193" s="13"/>
      <c r="E193" s="13" t="s">
        <v>1186</v>
      </c>
      <c r="F193" s="12" t="s">
        <v>1040</v>
      </c>
      <c r="G193" s="12" t="s">
        <v>1024</v>
      </c>
      <c r="H193" s="12" t="s">
        <v>1041</v>
      </c>
      <c r="I193" s="12" t="s">
        <v>189</v>
      </c>
      <c r="J193" s="13" t="s">
        <v>95</v>
      </c>
      <c r="K193" s="12" t="s">
        <v>16</v>
      </c>
      <c r="L193" s="12" t="s">
        <v>1198</v>
      </c>
      <c r="M193" s="12" t="s">
        <v>550</v>
      </c>
      <c r="N193" s="12" t="s">
        <v>1197</v>
      </c>
    </row>
    <row r="194" customFormat="false" ht="46.25" hidden="false" customHeight="false" outlineLevel="0" collapsed="false">
      <c r="A194" s="12" t="s">
        <v>1376</v>
      </c>
      <c r="B194" s="12" t="s">
        <v>135</v>
      </c>
      <c r="C194" s="13"/>
      <c r="D194" s="13"/>
      <c r="E194" s="13" t="s">
        <v>1186</v>
      </c>
      <c r="F194" s="12" t="s">
        <v>135</v>
      </c>
      <c r="G194" s="12" t="s">
        <v>93</v>
      </c>
      <c r="H194" s="12" t="s">
        <v>137</v>
      </c>
      <c r="I194" s="12" t="s">
        <v>104</v>
      </c>
      <c r="J194" s="13" t="s">
        <v>106</v>
      </c>
      <c r="K194" s="17" t="s">
        <v>14</v>
      </c>
      <c r="L194" s="12" t="s">
        <v>1187</v>
      </c>
      <c r="M194" s="12" t="s">
        <v>1378</v>
      </c>
      <c r="N194" s="12" t="s">
        <v>1229</v>
      </c>
    </row>
    <row r="195" customFormat="false" ht="23.85" hidden="false" customHeight="false" outlineLevel="0" collapsed="false">
      <c r="A195" s="12" t="s">
        <v>1376</v>
      </c>
      <c r="B195" s="12" t="s">
        <v>1321</v>
      </c>
      <c r="C195" s="13"/>
      <c r="D195" s="13"/>
      <c r="E195" s="13" t="s">
        <v>1186</v>
      </c>
      <c r="F195" s="12" t="s">
        <v>201</v>
      </c>
      <c r="G195" s="12" t="s">
        <v>93</v>
      </c>
      <c r="H195" s="12" t="s">
        <v>202</v>
      </c>
      <c r="I195" s="12" t="s">
        <v>104</v>
      </c>
      <c r="J195" s="13" t="s">
        <v>106</v>
      </c>
      <c r="K195" s="12" t="s">
        <v>16</v>
      </c>
      <c r="L195" s="12" t="s">
        <v>1198</v>
      </c>
      <c r="M195" s="12" t="s">
        <v>550</v>
      </c>
      <c r="N195" s="12" t="s">
        <v>1231</v>
      </c>
    </row>
    <row r="196" customFormat="false" ht="23.85" hidden="false" customHeight="false" outlineLevel="0" collapsed="false">
      <c r="A196" s="12" t="s">
        <v>1376</v>
      </c>
      <c r="B196" s="12" t="s">
        <v>1119</v>
      </c>
      <c r="C196" s="13"/>
      <c r="D196" s="13"/>
      <c r="E196" s="13" t="s">
        <v>1186</v>
      </c>
      <c r="F196" s="12" t="s">
        <v>1119</v>
      </c>
      <c r="G196" s="12" t="s">
        <v>1118</v>
      </c>
      <c r="H196" s="12" t="s">
        <v>1120</v>
      </c>
      <c r="I196" s="12" t="s">
        <v>499</v>
      </c>
      <c r="J196" s="13" t="s">
        <v>106</v>
      </c>
      <c r="K196" s="12" t="s">
        <v>20</v>
      </c>
      <c r="L196" s="12" t="s">
        <v>1212</v>
      </c>
      <c r="M196" s="12" t="s">
        <v>550</v>
      </c>
      <c r="N196" s="12" t="s">
        <v>1234</v>
      </c>
    </row>
    <row r="197" customFormat="false" ht="23.85" hidden="false" customHeight="false" outlineLevel="0" collapsed="false">
      <c r="A197" s="12" t="s">
        <v>1376</v>
      </c>
      <c r="B197" s="12" t="s">
        <v>1379</v>
      </c>
      <c r="C197" s="13"/>
      <c r="D197" s="13" t="s">
        <v>1186</v>
      </c>
      <c r="E197" s="13"/>
      <c r="F197" s="12" t="s">
        <v>480</v>
      </c>
      <c r="G197" s="12" t="s">
        <v>463</v>
      </c>
      <c r="H197" s="12" t="s">
        <v>481</v>
      </c>
      <c r="I197" s="12" t="s">
        <v>484</v>
      </c>
      <c r="J197" s="13" t="s">
        <v>106</v>
      </c>
      <c r="K197" s="12" t="s">
        <v>16</v>
      </c>
      <c r="L197" s="12" t="s">
        <v>1198</v>
      </c>
      <c r="M197" s="12" t="s">
        <v>550</v>
      </c>
      <c r="N197" s="12" t="s">
        <v>1189</v>
      </c>
    </row>
    <row r="198" customFormat="false" ht="35.05" hidden="false" customHeight="false" outlineLevel="0" collapsed="false">
      <c r="A198" s="12" t="s">
        <v>1376</v>
      </c>
      <c r="B198" s="12" t="s">
        <v>1190</v>
      </c>
      <c r="C198" s="13" t="s">
        <v>1186</v>
      </c>
      <c r="D198" s="13" t="s">
        <v>1186</v>
      </c>
      <c r="E198" s="13"/>
      <c r="F198" s="12" t="s">
        <v>94</v>
      </c>
      <c r="G198" s="12" t="s">
        <v>93</v>
      </c>
      <c r="H198" s="12" t="s">
        <v>97</v>
      </c>
      <c r="I198" s="12" t="s">
        <v>104</v>
      </c>
      <c r="J198" s="13" t="s">
        <v>106</v>
      </c>
      <c r="K198" s="17" t="s">
        <v>14</v>
      </c>
      <c r="L198" s="12" t="s">
        <v>1187</v>
      </c>
      <c r="M198" s="12" t="s">
        <v>1380</v>
      </c>
      <c r="N198" s="12" t="s">
        <v>1189</v>
      </c>
    </row>
    <row r="199" customFormat="false" ht="35.05" hidden="false" customHeight="false" outlineLevel="0" collapsed="false">
      <c r="A199" s="12" t="s">
        <v>1376</v>
      </c>
      <c r="B199" s="12" t="s">
        <v>1185</v>
      </c>
      <c r="C199" s="13"/>
      <c r="D199" s="13" t="s">
        <v>1186</v>
      </c>
      <c r="E199" s="13"/>
      <c r="F199" s="12" t="s">
        <v>94</v>
      </c>
      <c r="G199" s="12" t="s">
        <v>93</v>
      </c>
      <c r="H199" s="12" t="s">
        <v>97</v>
      </c>
      <c r="I199" s="12" t="s">
        <v>104</v>
      </c>
      <c r="J199" s="13" t="s">
        <v>106</v>
      </c>
      <c r="K199" s="17" t="s">
        <v>14</v>
      </c>
      <c r="L199" s="12" t="s">
        <v>1187</v>
      </c>
      <c r="M199" s="12" t="s">
        <v>1380</v>
      </c>
      <c r="N199" s="12" t="s">
        <v>1189</v>
      </c>
    </row>
    <row r="200" customFormat="false" ht="35.05" hidden="false" customHeight="false" outlineLevel="0" collapsed="false">
      <c r="A200" s="12" t="s">
        <v>1376</v>
      </c>
      <c r="B200" s="12" t="s">
        <v>1381</v>
      </c>
      <c r="C200" s="13"/>
      <c r="D200" s="13"/>
      <c r="E200" s="13" t="s">
        <v>1186</v>
      </c>
      <c r="F200" s="12" t="s">
        <v>1151</v>
      </c>
      <c r="G200" s="12" t="s">
        <v>1138</v>
      </c>
      <c r="H200" s="12" t="s">
        <v>1152</v>
      </c>
      <c r="I200" s="12" t="s">
        <v>244</v>
      </c>
      <c r="J200" s="13" t="s">
        <v>244</v>
      </c>
      <c r="K200" s="12" t="s">
        <v>22</v>
      </c>
      <c r="L200" s="12" t="s">
        <v>1271</v>
      </c>
      <c r="M200" s="12" t="s">
        <v>550</v>
      </c>
      <c r="N200" s="12" t="s">
        <v>1223</v>
      </c>
    </row>
    <row r="201" customFormat="false" ht="35.05" hidden="false" customHeight="false" outlineLevel="0" collapsed="false">
      <c r="A201" s="12" t="s">
        <v>1376</v>
      </c>
      <c r="B201" s="12" t="s">
        <v>1382</v>
      </c>
      <c r="C201" s="13"/>
      <c r="D201" s="13" t="s">
        <v>1186</v>
      </c>
      <c r="E201" s="13"/>
      <c r="F201" s="12" t="s">
        <v>1151</v>
      </c>
      <c r="G201" s="12" t="s">
        <v>1138</v>
      </c>
      <c r="H201" s="12" t="s">
        <v>1152</v>
      </c>
      <c r="I201" s="12" t="s">
        <v>244</v>
      </c>
      <c r="J201" s="13" t="s">
        <v>244</v>
      </c>
      <c r="K201" s="12" t="s">
        <v>22</v>
      </c>
      <c r="L201" s="12" t="s">
        <v>1271</v>
      </c>
      <c r="M201" s="12" t="s">
        <v>550</v>
      </c>
      <c r="N201" s="12" t="s">
        <v>1223</v>
      </c>
    </row>
    <row r="202" customFormat="false" ht="68.65" hidden="false" customHeight="false" outlineLevel="0" collapsed="false">
      <c r="A202" s="12" t="s">
        <v>1376</v>
      </c>
      <c r="B202" s="12" t="s">
        <v>1383</v>
      </c>
      <c r="C202" s="13"/>
      <c r="D202" s="13" t="s">
        <v>1186</v>
      </c>
      <c r="E202" s="13"/>
      <c r="F202" s="12" t="s">
        <v>1139</v>
      </c>
      <c r="G202" s="12" t="s">
        <v>1138</v>
      </c>
      <c r="H202" s="12" t="s">
        <v>1140</v>
      </c>
      <c r="I202" s="12" t="s">
        <v>244</v>
      </c>
      <c r="J202" s="13" t="s">
        <v>244</v>
      </c>
      <c r="K202" s="12" t="s">
        <v>22</v>
      </c>
      <c r="L202" s="12" t="s">
        <v>1196</v>
      </c>
      <c r="M202" s="12" t="s">
        <v>550</v>
      </c>
      <c r="N202" s="12" t="s">
        <v>1197</v>
      </c>
    </row>
    <row r="203" customFormat="false" ht="68.65" hidden="false" customHeight="false" outlineLevel="0" collapsed="false">
      <c r="A203" s="12" t="s">
        <v>1376</v>
      </c>
      <c r="B203" s="12" t="s">
        <v>1383</v>
      </c>
      <c r="C203" s="13"/>
      <c r="D203" s="13"/>
      <c r="E203" s="13" t="s">
        <v>1186</v>
      </c>
      <c r="F203" s="12" t="s">
        <v>1139</v>
      </c>
      <c r="G203" s="12" t="s">
        <v>1138</v>
      </c>
      <c r="H203" s="12" t="s">
        <v>1140</v>
      </c>
      <c r="I203" s="12" t="s">
        <v>244</v>
      </c>
      <c r="J203" s="13" t="s">
        <v>244</v>
      </c>
      <c r="K203" s="12" t="s">
        <v>22</v>
      </c>
      <c r="L203" s="12" t="s">
        <v>1196</v>
      </c>
      <c r="M203" s="12" t="s">
        <v>550</v>
      </c>
      <c r="N203" s="12" t="s">
        <v>1197</v>
      </c>
    </row>
    <row r="204" customFormat="false" ht="68.65" hidden="false" customHeight="false" outlineLevel="0" collapsed="false">
      <c r="A204" s="12" t="s">
        <v>1376</v>
      </c>
      <c r="B204" s="12" t="s">
        <v>1384</v>
      </c>
      <c r="C204" s="13" t="s">
        <v>1186</v>
      </c>
      <c r="D204" s="13" t="s">
        <v>1186</v>
      </c>
      <c r="E204" s="13" t="s">
        <v>1186</v>
      </c>
      <c r="F204" s="12" t="s">
        <v>1139</v>
      </c>
      <c r="G204" s="12" t="s">
        <v>1138</v>
      </c>
      <c r="H204" s="12" t="s">
        <v>1140</v>
      </c>
      <c r="I204" s="12" t="s">
        <v>244</v>
      </c>
      <c r="J204" s="13" t="s">
        <v>244</v>
      </c>
      <c r="K204" s="12" t="s">
        <v>22</v>
      </c>
      <c r="L204" s="12" t="s">
        <v>1196</v>
      </c>
      <c r="M204" s="12" t="s">
        <v>550</v>
      </c>
      <c r="N204" s="12" t="s">
        <v>1197</v>
      </c>
    </row>
    <row r="205" customFormat="false" ht="68.65" hidden="false" customHeight="false" outlineLevel="0" collapsed="false">
      <c r="A205" s="12" t="s">
        <v>1376</v>
      </c>
      <c r="B205" s="12" t="s">
        <v>1251</v>
      </c>
      <c r="C205" s="13" t="s">
        <v>1186</v>
      </c>
      <c r="D205" s="13" t="s">
        <v>1186</v>
      </c>
      <c r="E205" s="13" t="s">
        <v>1186</v>
      </c>
      <c r="F205" s="12" t="s">
        <v>1139</v>
      </c>
      <c r="G205" s="12" t="s">
        <v>1138</v>
      </c>
      <c r="H205" s="12" t="s">
        <v>1140</v>
      </c>
      <c r="I205" s="12" t="s">
        <v>244</v>
      </c>
      <c r="J205" s="13" t="s">
        <v>244</v>
      </c>
      <c r="K205" s="12" t="s">
        <v>22</v>
      </c>
      <c r="L205" s="12" t="s">
        <v>1196</v>
      </c>
      <c r="M205" s="12" t="s">
        <v>550</v>
      </c>
      <c r="N205" s="12" t="s">
        <v>1197</v>
      </c>
    </row>
    <row r="206" customFormat="false" ht="68.65" hidden="false" customHeight="false" outlineLevel="0" collapsed="false">
      <c r="A206" s="12" t="s">
        <v>1376</v>
      </c>
      <c r="B206" s="12" t="s">
        <v>1385</v>
      </c>
      <c r="C206" s="13" t="s">
        <v>1186</v>
      </c>
      <c r="D206" s="13"/>
      <c r="E206" s="13"/>
      <c r="F206" s="12" t="s">
        <v>1139</v>
      </c>
      <c r="G206" s="12" t="s">
        <v>1138</v>
      </c>
      <c r="H206" s="12" t="s">
        <v>1140</v>
      </c>
      <c r="I206" s="12" t="s">
        <v>244</v>
      </c>
      <c r="J206" s="13" t="s">
        <v>244</v>
      </c>
      <c r="K206" s="12" t="s">
        <v>22</v>
      </c>
      <c r="L206" s="12" t="s">
        <v>1196</v>
      </c>
      <c r="M206" s="12" t="s">
        <v>550</v>
      </c>
      <c r="N206" s="12" t="s">
        <v>1197</v>
      </c>
    </row>
    <row r="207" customFormat="false" ht="23.85" hidden="false" customHeight="false" outlineLevel="0" collapsed="false">
      <c r="A207" s="12" t="s">
        <v>1376</v>
      </c>
      <c r="B207" s="12" t="s">
        <v>1386</v>
      </c>
      <c r="C207" s="13" t="s">
        <v>1186</v>
      </c>
      <c r="D207" s="13"/>
      <c r="E207" s="13"/>
      <c r="F207" s="12" t="s">
        <v>480</v>
      </c>
      <c r="G207" s="12" t="s">
        <v>463</v>
      </c>
      <c r="H207" s="12" t="s">
        <v>481</v>
      </c>
      <c r="I207" s="12" t="s">
        <v>484</v>
      </c>
      <c r="J207" s="13" t="s">
        <v>106</v>
      </c>
      <c r="K207" s="12" t="s">
        <v>16</v>
      </c>
      <c r="L207" s="12" t="s">
        <v>1198</v>
      </c>
      <c r="M207" s="12" t="s">
        <v>550</v>
      </c>
      <c r="N207" s="12" t="s">
        <v>1189</v>
      </c>
    </row>
    <row r="208" customFormat="false" ht="68.65" hidden="false" customHeight="false" outlineLevel="0" collapsed="false">
      <c r="A208" s="12" t="s">
        <v>1376</v>
      </c>
      <c r="B208" s="12" t="s">
        <v>1387</v>
      </c>
      <c r="C208" s="13" t="s">
        <v>1186</v>
      </c>
      <c r="D208" s="13" t="s">
        <v>1186</v>
      </c>
      <c r="E208" s="13" t="s">
        <v>1186</v>
      </c>
      <c r="F208" s="12" t="s">
        <v>1139</v>
      </c>
      <c r="G208" s="12" t="s">
        <v>1138</v>
      </c>
      <c r="H208" s="12" t="s">
        <v>1140</v>
      </c>
      <c r="I208" s="12" t="s">
        <v>244</v>
      </c>
      <c r="J208" s="13" t="s">
        <v>244</v>
      </c>
      <c r="K208" s="12" t="s">
        <v>22</v>
      </c>
      <c r="L208" s="12" t="s">
        <v>1196</v>
      </c>
      <c r="M208" s="12" t="s">
        <v>550</v>
      </c>
      <c r="N208" s="12" t="s">
        <v>1197</v>
      </c>
    </row>
    <row r="209" customFormat="false" ht="23.85" hidden="false" customHeight="false" outlineLevel="0" collapsed="false">
      <c r="A209" s="12" t="s">
        <v>1376</v>
      </c>
      <c r="B209" s="12" t="s">
        <v>1329</v>
      </c>
      <c r="C209" s="13"/>
      <c r="D209" s="13"/>
      <c r="E209" s="13" t="s">
        <v>1186</v>
      </c>
      <c r="F209" s="12" t="s">
        <v>995</v>
      </c>
      <c r="G209" s="12" t="s">
        <v>930</v>
      </c>
      <c r="H209" s="12" t="s">
        <v>978</v>
      </c>
      <c r="I209" s="12" t="s">
        <v>980</v>
      </c>
      <c r="J209" s="13" t="s">
        <v>106</v>
      </c>
      <c r="K209" s="12" t="s">
        <v>21</v>
      </c>
      <c r="L209" s="12" t="s">
        <v>1222</v>
      </c>
      <c r="M209" s="12" t="s">
        <v>550</v>
      </c>
      <c r="N209" s="12" t="s">
        <v>1328</v>
      </c>
    </row>
    <row r="210" customFormat="false" ht="23.85" hidden="false" customHeight="false" outlineLevel="0" collapsed="false">
      <c r="A210" s="12" t="s">
        <v>1376</v>
      </c>
      <c r="B210" s="12" t="s">
        <v>1388</v>
      </c>
      <c r="C210" s="13"/>
      <c r="D210" s="13" t="s">
        <v>1186</v>
      </c>
      <c r="E210" s="13"/>
      <c r="F210" s="12" t="s">
        <v>525</v>
      </c>
      <c r="G210" s="12" t="s">
        <v>505</v>
      </c>
      <c r="H210" s="12" t="s">
        <v>526</v>
      </c>
      <c r="I210" s="12" t="s">
        <v>527</v>
      </c>
      <c r="J210" s="13" t="s">
        <v>106</v>
      </c>
      <c r="K210" s="12" t="s">
        <v>20</v>
      </c>
      <c r="L210" s="12" t="s">
        <v>1212</v>
      </c>
      <c r="M210" s="12" t="s">
        <v>550</v>
      </c>
      <c r="N210" s="12" t="s">
        <v>1245</v>
      </c>
    </row>
    <row r="211" customFormat="false" ht="23.85" hidden="false" customHeight="false" outlineLevel="0" collapsed="false">
      <c r="A211" s="12" t="s">
        <v>1376</v>
      </c>
      <c r="B211" s="12" t="s">
        <v>1359</v>
      </c>
      <c r="C211" s="13"/>
      <c r="D211" s="13"/>
      <c r="E211" s="13" t="s">
        <v>1186</v>
      </c>
      <c r="F211" s="12" t="s">
        <v>208</v>
      </c>
      <c r="G211" s="12" t="s">
        <v>93</v>
      </c>
      <c r="H211" s="12" t="s">
        <v>209</v>
      </c>
      <c r="I211" s="12" t="s">
        <v>212</v>
      </c>
      <c r="J211" s="13" t="s">
        <v>106</v>
      </c>
      <c r="K211" s="12" t="s">
        <v>16</v>
      </c>
      <c r="L211" s="12" t="s">
        <v>1198</v>
      </c>
      <c r="M211" s="12" t="s">
        <v>550</v>
      </c>
      <c r="N211" s="12" t="s">
        <v>1226</v>
      </c>
    </row>
    <row r="212" customFormat="false" ht="68.65" hidden="false" customHeight="false" outlineLevel="0" collapsed="false">
      <c r="A212" s="12" t="s">
        <v>1376</v>
      </c>
      <c r="B212" s="12" t="s">
        <v>1389</v>
      </c>
      <c r="C212" s="13"/>
      <c r="D212" s="13" t="s">
        <v>1186</v>
      </c>
      <c r="E212" s="13"/>
      <c r="F212" s="12" t="s">
        <v>1139</v>
      </c>
      <c r="G212" s="12" t="s">
        <v>1138</v>
      </c>
      <c r="H212" s="12" t="s">
        <v>1140</v>
      </c>
      <c r="I212" s="12" t="s">
        <v>244</v>
      </c>
      <c r="J212" s="13" t="s">
        <v>244</v>
      </c>
      <c r="K212" s="12" t="s">
        <v>22</v>
      </c>
      <c r="L212" s="12" t="s">
        <v>1196</v>
      </c>
      <c r="M212" s="12" t="s">
        <v>550</v>
      </c>
      <c r="N212" s="12" t="s">
        <v>1197</v>
      </c>
    </row>
    <row r="213" customFormat="false" ht="68.65" hidden="false" customHeight="false" outlineLevel="0" collapsed="false">
      <c r="A213" s="12" t="s">
        <v>1376</v>
      </c>
      <c r="B213" s="12" t="s">
        <v>1390</v>
      </c>
      <c r="C213" s="13" t="s">
        <v>1186</v>
      </c>
      <c r="D213" s="13"/>
      <c r="E213" s="13"/>
      <c r="F213" s="12" t="s">
        <v>1139</v>
      </c>
      <c r="G213" s="12" t="s">
        <v>1138</v>
      </c>
      <c r="H213" s="12" t="s">
        <v>1140</v>
      </c>
      <c r="I213" s="12" t="s">
        <v>244</v>
      </c>
      <c r="J213" s="13" t="s">
        <v>244</v>
      </c>
      <c r="K213" s="12" t="s">
        <v>22</v>
      </c>
      <c r="L213" s="12" t="s">
        <v>1196</v>
      </c>
      <c r="M213" s="12" t="s">
        <v>550</v>
      </c>
      <c r="N213" s="12" t="s">
        <v>1197</v>
      </c>
    </row>
    <row r="214" customFormat="false" ht="23.85" hidden="false" customHeight="false" outlineLevel="0" collapsed="false">
      <c r="A214" s="12" t="s">
        <v>1376</v>
      </c>
      <c r="B214" s="12" t="s">
        <v>1391</v>
      </c>
      <c r="C214" s="13" t="s">
        <v>1186</v>
      </c>
      <c r="D214" s="13"/>
      <c r="E214" s="13"/>
      <c r="F214" s="12" t="s">
        <v>496</v>
      </c>
      <c r="G214" s="12" t="s">
        <v>463</v>
      </c>
      <c r="H214" s="12" t="s">
        <v>497</v>
      </c>
      <c r="I214" s="12" t="s">
        <v>499</v>
      </c>
      <c r="J214" s="13" t="s">
        <v>106</v>
      </c>
      <c r="K214" s="12" t="s">
        <v>16</v>
      </c>
      <c r="L214" s="12" t="s">
        <v>1198</v>
      </c>
      <c r="M214" s="12" t="s">
        <v>550</v>
      </c>
      <c r="N214" s="12" t="s">
        <v>1197</v>
      </c>
    </row>
    <row r="215" customFormat="false" ht="23.85" hidden="false" customHeight="false" outlineLevel="0" collapsed="false">
      <c r="A215" s="12" t="s">
        <v>1376</v>
      </c>
      <c r="B215" s="12" t="s">
        <v>1392</v>
      </c>
      <c r="C215" s="13"/>
      <c r="D215" s="13" t="s">
        <v>1186</v>
      </c>
      <c r="E215" s="13"/>
      <c r="F215" s="12" t="s">
        <v>1135</v>
      </c>
      <c r="G215" s="12" t="s">
        <v>1118</v>
      </c>
      <c r="H215" s="12" t="s">
        <v>1136</v>
      </c>
      <c r="I215" s="12" t="s">
        <v>244</v>
      </c>
      <c r="J215" s="13" t="s">
        <v>106</v>
      </c>
      <c r="K215" s="12" t="s">
        <v>20</v>
      </c>
      <c r="L215" s="12" t="s">
        <v>1212</v>
      </c>
      <c r="M215" s="12" t="s">
        <v>550</v>
      </c>
      <c r="N215" s="12" t="s">
        <v>1245</v>
      </c>
    </row>
    <row r="216" customFormat="false" ht="23.85" hidden="false" customHeight="false" outlineLevel="0" collapsed="false">
      <c r="A216" s="12" t="s">
        <v>1376</v>
      </c>
      <c r="B216" s="12" t="s">
        <v>1262</v>
      </c>
      <c r="C216" s="13"/>
      <c r="D216" s="13"/>
      <c r="E216" s="13" t="s">
        <v>1186</v>
      </c>
      <c r="F216" s="12" t="s">
        <v>842</v>
      </c>
      <c r="G216" s="12" t="s">
        <v>834</v>
      </c>
      <c r="H216" s="12" t="s">
        <v>843</v>
      </c>
      <c r="I216" s="12" t="s">
        <v>760</v>
      </c>
      <c r="J216" s="13" t="s">
        <v>106</v>
      </c>
      <c r="K216" s="12" t="s">
        <v>16</v>
      </c>
      <c r="L216" s="12" t="s">
        <v>1198</v>
      </c>
      <c r="M216" s="12" t="s">
        <v>550</v>
      </c>
      <c r="N216" s="12" t="s">
        <v>1226</v>
      </c>
    </row>
    <row r="217" customFormat="false" ht="23.85" hidden="false" customHeight="false" outlineLevel="0" collapsed="false">
      <c r="A217" s="12" t="s">
        <v>1376</v>
      </c>
      <c r="B217" s="12" t="s">
        <v>1308</v>
      </c>
      <c r="C217" s="13" t="s">
        <v>1186</v>
      </c>
      <c r="D217" s="13"/>
      <c r="E217" s="13"/>
      <c r="F217" s="12" t="s">
        <v>396</v>
      </c>
      <c r="G217" s="12" t="s">
        <v>344</v>
      </c>
      <c r="H217" s="12" t="s">
        <v>397</v>
      </c>
      <c r="I217" s="12" t="s">
        <v>164</v>
      </c>
      <c r="J217" s="13" t="s">
        <v>106</v>
      </c>
      <c r="K217" s="12" t="s">
        <v>16</v>
      </c>
      <c r="L217" s="12" t="s">
        <v>1198</v>
      </c>
      <c r="M217" s="12" t="s">
        <v>550</v>
      </c>
      <c r="N217" s="12" t="s">
        <v>1213</v>
      </c>
    </row>
    <row r="218" customFormat="false" ht="23.85" hidden="false" customHeight="false" outlineLevel="0" collapsed="false">
      <c r="A218" s="12" t="s">
        <v>1376</v>
      </c>
      <c r="B218" s="12" t="s">
        <v>1393</v>
      </c>
      <c r="C218" s="13" t="s">
        <v>1186</v>
      </c>
      <c r="D218" s="13"/>
      <c r="E218" s="13"/>
      <c r="F218" s="12" t="s">
        <v>474</v>
      </c>
      <c r="G218" s="12" t="s">
        <v>463</v>
      </c>
      <c r="H218" s="12" t="s">
        <v>475</v>
      </c>
      <c r="I218" s="12" t="s">
        <v>469</v>
      </c>
      <c r="J218" s="13" t="s">
        <v>106</v>
      </c>
      <c r="K218" s="12" t="s">
        <v>16</v>
      </c>
      <c r="L218" s="12" t="s">
        <v>1198</v>
      </c>
      <c r="M218" s="12" t="s">
        <v>550</v>
      </c>
      <c r="N218" s="12" t="s">
        <v>1239</v>
      </c>
    </row>
    <row r="219" customFormat="false" ht="23.85" hidden="false" customHeight="false" outlineLevel="0" collapsed="false">
      <c r="A219" s="12" t="s">
        <v>1376</v>
      </c>
      <c r="B219" s="12" t="s">
        <v>281</v>
      </c>
      <c r="C219" s="13" t="s">
        <v>1186</v>
      </c>
      <c r="D219" s="13"/>
      <c r="E219" s="13"/>
      <c r="F219" s="12" t="s">
        <v>281</v>
      </c>
      <c r="G219" s="12" t="s">
        <v>224</v>
      </c>
      <c r="H219" s="12" t="s">
        <v>282</v>
      </c>
      <c r="I219" s="12" t="s">
        <v>189</v>
      </c>
      <c r="J219" s="13" t="s">
        <v>106</v>
      </c>
      <c r="K219" s="12" t="s">
        <v>16</v>
      </c>
      <c r="L219" s="12" t="s">
        <v>1198</v>
      </c>
      <c r="M219" s="12" t="s">
        <v>550</v>
      </c>
      <c r="N219" s="12" t="s">
        <v>1213</v>
      </c>
    </row>
    <row r="220" customFormat="false" ht="23.85" hidden="false" customHeight="false" outlineLevel="0" collapsed="false">
      <c r="A220" s="12" t="s">
        <v>1376</v>
      </c>
      <c r="B220" s="12" t="s">
        <v>1394</v>
      </c>
      <c r="C220" s="13"/>
      <c r="D220" s="13"/>
      <c r="E220" s="13" t="s">
        <v>1186</v>
      </c>
      <c r="F220" s="12" t="s">
        <v>1047</v>
      </c>
      <c r="G220" s="12" t="s">
        <v>1024</v>
      </c>
      <c r="H220" s="12" t="s">
        <v>1048</v>
      </c>
      <c r="I220" s="12" t="s">
        <v>164</v>
      </c>
      <c r="J220" s="13" t="s">
        <v>307</v>
      </c>
      <c r="K220" s="12" t="s">
        <v>20</v>
      </c>
      <c r="L220" s="12" t="s">
        <v>1212</v>
      </c>
      <c r="M220" s="12" t="s">
        <v>550</v>
      </c>
      <c r="N220" s="12" t="s">
        <v>1197</v>
      </c>
    </row>
    <row r="221" customFormat="false" ht="23.85" hidden="false" customHeight="false" outlineLevel="0" collapsed="false">
      <c r="A221" s="12" t="s">
        <v>1376</v>
      </c>
      <c r="B221" s="12" t="s">
        <v>1395</v>
      </c>
      <c r="C221" s="13"/>
      <c r="D221" s="13" t="s">
        <v>1186</v>
      </c>
      <c r="E221" s="13"/>
      <c r="F221" s="12" t="s">
        <v>898</v>
      </c>
      <c r="G221" s="12" t="s">
        <v>897</v>
      </c>
      <c r="H221" s="12" t="s">
        <v>899</v>
      </c>
      <c r="I221" s="12" t="s">
        <v>631</v>
      </c>
      <c r="J221" s="13" t="s">
        <v>106</v>
      </c>
      <c r="K221" s="12" t="s">
        <v>16</v>
      </c>
      <c r="L221" s="12" t="s">
        <v>1198</v>
      </c>
      <c r="M221" s="12" t="s">
        <v>550</v>
      </c>
      <c r="N221" s="12" t="s">
        <v>1223</v>
      </c>
    </row>
    <row r="222" customFormat="false" ht="23.85" hidden="false" customHeight="false" outlineLevel="0" collapsed="false">
      <c r="A222" s="12" t="s">
        <v>1376</v>
      </c>
      <c r="B222" s="12" t="s">
        <v>1395</v>
      </c>
      <c r="C222" s="13"/>
      <c r="D222" s="13"/>
      <c r="E222" s="13" t="s">
        <v>1186</v>
      </c>
      <c r="F222" s="12" t="s">
        <v>898</v>
      </c>
      <c r="G222" s="12" t="s">
        <v>897</v>
      </c>
      <c r="H222" s="12" t="s">
        <v>899</v>
      </c>
      <c r="I222" s="12" t="s">
        <v>631</v>
      </c>
      <c r="J222" s="13" t="s">
        <v>106</v>
      </c>
      <c r="K222" s="12" t="s">
        <v>16</v>
      </c>
      <c r="L222" s="12" t="s">
        <v>1198</v>
      </c>
      <c r="M222" s="12" t="s">
        <v>550</v>
      </c>
      <c r="N222" s="12" t="s">
        <v>1223</v>
      </c>
    </row>
    <row r="223" customFormat="false" ht="23.85" hidden="false" customHeight="false" outlineLevel="0" collapsed="false">
      <c r="A223" s="12" t="s">
        <v>1376</v>
      </c>
      <c r="B223" s="12" t="s">
        <v>1396</v>
      </c>
      <c r="C223" s="13"/>
      <c r="D223" s="13" t="s">
        <v>1186</v>
      </c>
      <c r="E223" s="13"/>
      <c r="F223" s="12" t="s">
        <v>400</v>
      </c>
      <c r="G223" s="12" t="s">
        <v>344</v>
      </c>
      <c r="H223" s="12" t="s">
        <v>401</v>
      </c>
      <c r="I223" s="12" t="s">
        <v>164</v>
      </c>
      <c r="J223" s="13" t="s">
        <v>106</v>
      </c>
      <c r="K223" s="12" t="s">
        <v>16</v>
      </c>
      <c r="L223" s="12" t="s">
        <v>1198</v>
      </c>
      <c r="M223" s="12" t="s">
        <v>550</v>
      </c>
      <c r="N223" s="12" t="s">
        <v>1259</v>
      </c>
    </row>
    <row r="224" customFormat="false" ht="23.85" hidden="false" customHeight="false" outlineLevel="0" collapsed="false">
      <c r="A224" s="12" t="s">
        <v>1376</v>
      </c>
      <c r="B224" s="12" t="s">
        <v>1397</v>
      </c>
      <c r="C224" s="13"/>
      <c r="D224" s="13" t="s">
        <v>1186</v>
      </c>
      <c r="E224" s="13"/>
      <c r="F224" s="12" t="s">
        <v>234</v>
      </c>
      <c r="G224" s="12" t="s">
        <v>224</v>
      </c>
      <c r="H224" s="12" t="s">
        <v>236</v>
      </c>
      <c r="I224" s="12" t="s">
        <v>189</v>
      </c>
      <c r="J224" s="13" t="s">
        <v>106</v>
      </c>
      <c r="K224" s="12" t="s">
        <v>16</v>
      </c>
      <c r="L224" s="12" t="s">
        <v>1198</v>
      </c>
      <c r="M224" s="12" t="s">
        <v>550</v>
      </c>
      <c r="N224" s="12" t="s">
        <v>1317</v>
      </c>
    </row>
    <row r="225" customFormat="false" ht="23.85" hidden="false" customHeight="false" outlineLevel="0" collapsed="false">
      <c r="A225" s="12" t="s">
        <v>1376</v>
      </c>
      <c r="B225" s="12" t="s">
        <v>1310</v>
      </c>
      <c r="C225" s="13"/>
      <c r="D225" s="13" t="s">
        <v>1186</v>
      </c>
      <c r="E225" s="13"/>
      <c r="F225" s="12" t="s">
        <v>464</v>
      </c>
      <c r="G225" s="12" t="s">
        <v>463</v>
      </c>
      <c r="H225" s="12" t="s">
        <v>465</v>
      </c>
      <c r="I225" s="12" t="s">
        <v>469</v>
      </c>
      <c r="J225" s="13" t="s">
        <v>106</v>
      </c>
      <c r="K225" s="12" t="s">
        <v>16</v>
      </c>
      <c r="L225" s="12" t="s">
        <v>1191</v>
      </c>
      <c r="M225" s="12" t="s">
        <v>1208</v>
      </c>
      <c r="N225" s="12" t="s">
        <v>1290</v>
      </c>
    </row>
    <row r="226" customFormat="false" ht="23.85" hidden="false" customHeight="false" outlineLevel="0" collapsed="false">
      <c r="A226" s="12" t="s">
        <v>1376</v>
      </c>
      <c r="B226" s="12" t="s">
        <v>1398</v>
      </c>
      <c r="C226" s="13" t="s">
        <v>1186</v>
      </c>
      <c r="D226" s="13"/>
      <c r="E226" s="13"/>
      <c r="F226" s="12" t="s">
        <v>464</v>
      </c>
      <c r="G226" s="12" t="s">
        <v>463</v>
      </c>
      <c r="H226" s="12" t="s">
        <v>465</v>
      </c>
      <c r="I226" s="12" t="s">
        <v>469</v>
      </c>
      <c r="J226" s="13" t="s">
        <v>106</v>
      </c>
      <c r="K226" s="12" t="s">
        <v>16</v>
      </c>
      <c r="L226" s="12" t="s">
        <v>1191</v>
      </c>
      <c r="M226" s="12" t="s">
        <v>1208</v>
      </c>
      <c r="N226" s="12" t="s">
        <v>1290</v>
      </c>
    </row>
    <row r="227" customFormat="false" ht="23.85" hidden="false" customHeight="false" outlineLevel="0" collapsed="false">
      <c r="A227" s="12" t="s">
        <v>1376</v>
      </c>
      <c r="B227" s="12" t="s">
        <v>1399</v>
      </c>
      <c r="C227" s="13"/>
      <c r="D227" s="13"/>
      <c r="E227" s="13" t="s">
        <v>1186</v>
      </c>
      <c r="F227" s="12" t="s">
        <v>464</v>
      </c>
      <c r="G227" s="12" t="s">
        <v>463</v>
      </c>
      <c r="H227" s="12" t="s">
        <v>465</v>
      </c>
      <c r="I227" s="12" t="s">
        <v>469</v>
      </c>
      <c r="J227" s="13" t="s">
        <v>106</v>
      </c>
      <c r="K227" s="17" t="s">
        <v>14</v>
      </c>
      <c r="L227" s="12" t="s">
        <v>1187</v>
      </c>
      <c r="M227" s="12" t="s">
        <v>1208</v>
      </c>
      <c r="N227" s="12" t="s">
        <v>1290</v>
      </c>
    </row>
    <row r="228" customFormat="false" ht="23.85" hidden="false" customHeight="false" outlineLevel="0" collapsed="false">
      <c r="A228" s="12" t="s">
        <v>1376</v>
      </c>
      <c r="B228" s="12" t="s">
        <v>1400</v>
      </c>
      <c r="C228" s="13"/>
      <c r="D228" s="13"/>
      <c r="E228" s="13" t="s">
        <v>1186</v>
      </c>
      <c r="F228" s="12" t="s">
        <v>464</v>
      </c>
      <c r="G228" s="12" t="s">
        <v>463</v>
      </c>
      <c r="H228" s="12" t="s">
        <v>465</v>
      </c>
      <c r="I228" s="12" t="s">
        <v>469</v>
      </c>
      <c r="J228" s="13" t="s">
        <v>106</v>
      </c>
      <c r="K228" s="17" t="s">
        <v>14</v>
      </c>
      <c r="L228" s="12" t="s">
        <v>1187</v>
      </c>
      <c r="M228" s="12" t="s">
        <v>1208</v>
      </c>
      <c r="N228" s="12" t="s">
        <v>1290</v>
      </c>
    </row>
    <row r="229" customFormat="false" ht="23.85" hidden="false" customHeight="false" outlineLevel="0" collapsed="false">
      <c r="A229" s="12" t="s">
        <v>1376</v>
      </c>
      <c r="B229" s="12" t="s">
        <v>1401</v>
      </c>
      <c r="C229" s="13"/>
      <c r="D229" s="13"/>
      <c r="E229" s="13" t="s">
        <v>1186</v>
      </c>
      <c r="F229" s="12" t="s">
        <v>464</v>
      </c>
      <c r="G229" s="12" t="s">
        <v>463</v>
      </c>
      <c r="H229" s="12" t="s">
        <v>465</v>
      </c>
      <c r="I229" s="12" t="s">
        <v>469</v>
      </c>
      <c r="J229" s="13" t="s">
        <v>106</v>
      </c>
      <c r="K229" s="17" t="s">
        <v>14</v>
      </c>
      <c r="L229" s="12" t="s">
        <v>1187</v>
      </c>
      <c r="M229" s="12" t="s">
        <v>1208</v>
      </c>
      <c r="N229" s="12" t="s">
        <v>1290</v>
      </c>
    </row>
    <row r="230" customFormat="false" ht="23.85" hidden="false" customHeight="false" outlineLevel="0" collapsed="false">
      <c r="A230" s="12" t="s">
        <v>1376</v>
      </c>
      <c r="B230" s="12" t="s">
        <v>1402</v>
      </c>
      <c r="C230" s="13"/>
      <c r="D230" s="13" t="s">
        <v>1186</v>
      </c>
      <c r="E230" s="13"/>
      <c r="F230" s="12" t="s">
        <v>488</v>
      </c>
      <c r="G230" s="12" t="s">
        <v>463</v>
      </c>
      <c r="H230" s="12" t="s">
        <v>489</v>
      </c>
      <c r="I230" s="12" t="s">
        <v>492</v>
      </c>
      <c r="J230" s="13" t="s">
        <v>106</v>
      </c>
      <c r="K230" s="17" t="s">
        <v>14</v>
      </c>
      <c r="L230" s="12" t="s">
        <v>1187</v>
      </c>
      <c r="M230" s="12" t="s">
        <v>1242</v>
      </c>
      <c r="N230" s="12" t="s">
        <v>1261</v>
      </c>
    </row>
    <row r="231" customFormat="false" ht="23.85" hidden="false" customHeight="false" outlineLevel="0" collapsed="false">
      <c r="A231" s="12" t="s">
        <v>1376</v>
      </c>
      <c r="B231" s="12" t="s">
        <v>1403</v>
      </c>
      <c r="C231" s="13"/>
      <c r="D231" s="13" t="s">
        <v>1186</v>
      </c>
      <c r="E231" s="13"/>
      <c r="F231" s="12" t="s">
        <v>474</v>
      </c>
      <c r="G231" s="12" t="s">
        <v>463</v>
      </c>
      <c r="H231" s="12" t="s">
        <v>475</v>
      </c>
      <c r="I231" s="12" t="s">
        <v>469</v>
      </c>
      <c r="J231" s="13" t="s">
        <v>106</v>
      </c>
      <c r="K231" s="12" t="s">
        <v>16</v>
      </c>
      <c r="L231" s="12" t="s">
        <v>1198</v>
      </c>
      <c r="M231" s="12" t="s">
        <v>550</v>
      </c>
      <c r="N231" s="12" t="s">
        <v>1239</v>
      </c>
    </row>
    <row r="232" customFormat="false" ht="23.85" hidden="false" customHeight="false" outlineLevel="0" collapsed="false">
      <c r="A232" s="12" t="s">
        <v>1376</v>
      </c>
      <c r="B232" s="12" t="s">
        <v>1404</v>
      </c>
      <c r="C232" s="13" t="s">
        <v>1186</v>
      </c>
      <c r="D232" s="13"/>
      <c r="E232" s="13"/>
      <c r="F232" s="12" t="s">
        <v>383</v>
      </c>
      <c r="G232" s="12" t="s">
        <v>344</v>
      </c>
      <c r="H232" s="12" t="s">
        <v>365</v>
      </c>
      <c r="I232" s="12" t="s">
        <v>189</v>
      </c>
      <c r="J232" s="13" t="s">
        <v>106</v>
      </c>
      <c r="K232" s="17" t="s">
        <v>14</v>
      </c>
      <c r="L232" s="12" t="s">
        <v>1187</v>
      </c>
      <c r="M232" s="12" t="s">
        <v>1206</v>
      </c>
      <c r="N232" s="12" t="s">
        <v>1213</v>
      </c>
    </row>
    <row r="233" customFormat="false" ht="23.85" hidden="false" customHeight="false" outlineLevel="0" collapsed="false">
      <c r="A233" s="12" t="s">
        <v>1376</v>
      </c>
      <c r="B233" s="12" t="s">
        <v>1405</v>
      </c>
      <c r="C233" s="13"/>
      <c r="D233" s="13"/>
      <c r="E233" s="13" t="s">
        <v>1186</v>
      </c>
      <c r="F233" s="12" t="s">
        <v>502</v>
      </c>
      <c r="G233" s="12" t="s">
        <v>463</v>
      </c>
      <c r="H233" s="12" t="s">
        <v>489</v>
      </c>
      <c r="I233" s="12" t="s">
        <v>492</v>
      </c>
      <c r="J233" s="13" t="s">
        <v>106</v>
      </c>
      <c r="K233" s="12" t="s">
        <v>20</v>
      </c>
      <c r="L233" s="12" t="s">
        <v>1212</v>
      </c>
      <c r="M233" s="12" t="s">
        <v>550</v>
      </c>
      <c r="N233" s="12" t="s">
        <v>1286</v>
      </c>
    </row>
    <row r="234" customFormat="false" ht="23.85" hidden="false" customHeight="false" outlineLevel="0" collapsed="false">
      <c r="A234" s="12" t="s">
        <v>1376</v>
      </c>
      <c r="B234" s="12" t="s">
        <v>1406</v>
      </c>
      <c r="C234" s="13"/>
      <c r="D234" s="13" t="s">
        <v>1186</v>
      </c>
      <c r="E234" s="13"/>
      <c r="F234" s="12" t="s">
        <v>513</v>
      </c>
      <c r="G234" s="12" t="s">
        <v>505</v>
      </c>
      <c r="H234" s="12" t="s">
        <v>514</v>
      </c>
      <c r="I234" s="12" t="s">
        <v>516</v>
      </c>
      <c r="J234" s="13" t="s">
        <v>106</v>
      </c>
      <c r="K234" s="12" t="s">
        <v>20</v>
      </c>
      <c r="L234" s="12" t="s">
        <v>1212</v>
      </c>
      <c r="M234" s="12" t="s">
        <v>550</v>
      </c>
      <c r="N234" s="12" t="s">
        <v>1259</v>
      </c>
    </row>
    <row r="235" customFormat="false" ht="23.85" hidden="false" customHeight="false" outlineLevel="0" collapsed="false">
      <c r="A235" s="12" t="s">
        <v>1376</v>
      </c>
      <c r="B235" s="12" t="s">
        <v>1407</v>
      </c>
      <c r="C235" s="13"/>
      <c r="D235" s="13"/>
      <c r="E235" s="13" t="s">
        <v>1186</v>
      </c>
      <c r="F235" s="12" t="s">
        <v>535</v>
      </c>
      <c r="G235" s="12" t="s">
        <v>505</v>
      </c>
      <c r="H235" s="12" t="s">
        <v>536</v>
      </c>
      <c r="I235" s="12" t="s">
        <v>527</v>
      </c>
      <c r="J235" s="13" t="s">
        <v>106</v>
      </c>
      <c r="K235" s="12" t="s">
        <v>16</v>
      </c>
      <c r="L235" s="12" t="s">
        <v>1198</v>
      </c>
      <c r="M235" s="12" t="s">
        <v>550</v>
      </c>
      <c r="N235" s="12" t="s">
        <v>1234</v>
      </c>
    </row>
    <row r="236" customFormat="false" ht="46.25" hidden="false" customHeight="false" outlineLevel="0" collapsed="false">
      <c r="A236" s="12" t="s">
        <v>1376</v>
      </c>
      <c r="B236" s="12" t="s">
        <v>1408</v>
      </c>
      <c r="C236" s="13"/>
      <c r="D236" s="13"/>
      <c r="E236" s="13" t="s">
        <v>1186</v>
      </c>
      <c r="F236" s="12" t="s">
        <v>1171</v>
      </c>
      <c r="G236" s="12" t="s">
        <v>1158</v>
      </c>
      <c r="H236" s="12" t="s">
        <v>1172</v>
      </c>
      <c r="I236" s="12" t="s">
        <v>244</v>
      </c>
      <c r="J236" s="13" t="s">
        <v>244</v>
      </c>
      <c r="K236" s="12" t="s">
        <v>24</v>
      </c>
      <c r="L236" s="12" t="s">
        <v>1233</v>
      </c>
      <c r="M236" s="12" t="s">
        <v>550</v>
      </c>
      <c r="N236" s="12" t="s">
        <v>321</v>
      </c>
    </row>
    <row r="237" customFormat="false" ht="23.85" hidden="false" customHeight="false" outlineLevel="0" collapsed="false">
      <c r="A237" s="12" t="s">
        <v>1409</v>
      </c>
      <c r="B237" s="12" t="s">
        <v>146</v>
      </c>
      <c r="C237" s="13"/>
      <c r="D237" s="13" t="s">
        <v>1186</v>
      </c>
      <c r="E237" s="13"/>
      <c r="F237" s="12" t="s">
        <v>146</v>
      </c>
      <c r="G237" s="12" t="s">
        <v>93</v>
      </c>
      <c r="H237" s="12" t="s">
        <v>148</v>
      </c>
      <c r="I237" s="12" t="s">
        <v>153</v>
      </c>
      <c r="J237" s="13" t="s">
        <v>106</v>
      </c>
      <c r="K237" s="12" t="s">
        <v>16</v>
      </c>
      <c r="L237" s="12" t="s">
        <v>1198</v>
      </c>
      <c r="M237" s="12" t="s">
        <v>550</v>
      </c>
      <c r="N237" s="12" t="s">
        <v>1197</v>
      </c>
    </row>
    <row r="238" customFormat="false" ht="23.85" hidden="false" customHeight="false" outlineLevel="0" collapsed="false">
      <c r="A238" s="12" t="s">
        <v>1409</v>
      </c>
      <c r="B238" s="12" t="s">
        <v>146</v>
      </c>
      <c r="C238" s="13"/>
      <c r="D238" s="13"/>
      <c r="E238" s="13" t="s">
        <v>1186</v>
      </c>
      <c r="F238" s="12" t="s">
        <v>146</v>
      </c>
      <c r="G238" s="12" t="s">
        <v>93</v>
      </c>
      <c r="H238" s="12" t="s">
        <v>148</v>
      </c>
      <c r="I238" s="12" t="s">
        <v>153</v>
      </c>
      <c r="J238" s="13" t="s">
        <v>106</v>
      </c>
      <c r="K238" s="12" t="s">
        <v>16</v>
      </c>
      <c r="L238" s="12" t="s">
        <v>1198</v>
      </c>
      <c r="M238" s="12" t="s">
        <v>550</v>
      </c>
      <c r="N238" s="12" t="s">
        <v>1197</v>
      </c>
    </row>
    <row r="239" customFormat="false" ht="23.85" hidden="false" customHeight="false" outlineLevel="0" collapsed="false">
      <c r="A239" s="12" t="s">
        <v>1409</v>
      </c>
      <c r="B239" s="12" t="s">
        <v>1410</v>
      </c>
      <c r="C239" s="13" t="s">
        <v>1186</v>
      </c>
      <c r="D239" s="13"/>
      <c r="E239" s="13"/>
      <c r="F239" s="12" t="s">
        <v>931</v>
      </c>
      <c r="G239" s="12" t="s">
        <v>930</v>
      </c>
      <c r="H239" s="12" t="s">
        <v>933</v>
      </c>
      <c r="I239" s="12" t="s">
        <v>457</v>
      </c>
      <c r="J239" s="13" t="s">
        <v>106</v>
      </c>
      <c r="K239" s="12" t="s">
        <v>21</v>
      </c>
      <c r="L239" s="12" t="s">
        <v>1222</v>
      </c>
      <c r="M239" s="12" t="s">
        <v>550</v>
      </c>
      <c r="N239" s="12" t="s">
        <v>1197</v>
      </c>
    </row>
    <row r="240" customFormat="false" ht="23.85" hidden="false" customHeight="false" outlineLevel="0" collapsed="false">
      <c r="A240" s="12" t="s">
        <v>1409</v>
      </c>
      <c r="B240" s="12" t="s">
        <v>1200</v>
      </c>
      <c r="C240" s="13" t="s">
        <v>1186</v>
      </c>
      <c r="D240" s="13"/>
      <c r="E240" s="13"/>
      <c r="F240" s="12" t="s">
        <v>146</v>
      </c>
      <c r="G240" s="12" t="s">
        <v>93</v>
      </c>
      <c r="H240" s="12" t="s">
        <v>148</v>
      </c>
      <c r="I240" s="12" t="s">
        <v>153</v>
      </c>
      <c r="J240" s="13" t="s">
        <v>106</v>
      </c>
      <c r="K240" s="12" t="s">
        <v>16</v>
      </c>
      <c r="L240" s="12" t="s">
        <v>1198</v>
      </c>
      <c r="M240" s="12" t="s">
        <v>550</v>
      </c>
      <c r="N240" s="12" t="s">
        <v>1197</v>
      </c>
    </row>
    <row r="241" customFormat="false" ht="23.85" hidden="false" customHeight="false" outlineLevel="0" collapsed="false">
      <c r="A241" s="12" t="s">
        <v>1409</v>
      </c>
      <c r="B241" s="12" t="s">
        <v>1411</v>
      </c>
      <c r="C241" s="13"/>
      <c r="D241" s="13" t="s">
        <v>1186</v>
      </c>
      <c r="E241" s="13"/>
      <c r="F241" s="12" t="s">
        <v>931</v>
      </c>
      <c r="G241" s="12" t="s">
        <v>930</v>
      </c>
      <c r="H241" s="12" t="s">
        <v>933</v>
      </c>
      <c r="I241" s="12" t="s">
        <v>457</v>
      </c>
      <c r="J241" s="13" t="s">
        <v>106</v>
      </c>
      <c r="K241" s="12" t="s">
        <v>21</v>
      </c>
      <c r="L241" s="12" t="s">
        <v>1222</v>
      </c>
      <c r="M241" s="12" t="s">
        <v>550</v>
      </c>
      <c r="N241" s="12" t="s">
        <v>1197</v>
      </c>
    </row>
    <row r="242" customFormat="false" ht="23.85" hidden="false" customHeight="false" outlineLevel="0" collapsed="false">
      <c r="A242" s="12" t="s">
        <v>1409</v>
      </c>
      <c r="B242" s="12" t="s">
        <v>1119</v>
      </c>
      <c r="C242" s="13"/>
      <c r="D242" s="13"/>
      <c r="E242" s="13" t="s">
        <v>1186</v>
      </c>
      <c r="F242" s="12" t="s">
        <v>1119</v>
      </c>
      <c r="G242" s="12" t="s">
        <v>1118</v>
      </c>
      <c r="H242" s="12" t="s">
        <v>1120</v>
      </c>
      <c r="I242" s="12" t="s">
        <v>499</v>
      </c>
      <c r="J242" s="13" t="s">
        <v>106</v>
      </c>
      <c r="K242" s="12" t="s">
        <v>20</v>
      </c>
      <c r="L242" s="12" t="s">
        <v>1212</v>
      </c>
      <c r="M242" s="12" t="s">
        <v>550</v>
      </c>
      <c r="N242" s="12" t="s">
        <v>1234</v>
      </c>
    </row>
    <row r="243" customFormat="false" ht="15" hidden="false" customHeight="false" outlineLevel="0" collapsed="false">
      <c r="A243" s="12" t="s">
        <v>1409</v>
      </c>
      <c r="B243" s="12" t="s">
        <v>1412</v>
      </c>
      <c r="C243" s="13"/>
      <c r="D243" s="13"/>
      <c r="E243" s="13" t="s">
        <v>1186</v>
      </c>
      <c r="F243" s="12" t="s">
        <v>1168</v>
      </c>
      <c r="G243" s="12" t="s">
        <v>1158</v>
      </c>
      <c r="H243" s="12" t="s">
        <v>1169</v>
      </c>
      <c r="I243" s="12" t="s">
        <v>244</v>
      </c>
      <c r="J243" s="13" t="s">
        <v>244</v>
      </c>
      <c r="K243" s="12" t="s">
        <v>23</v>
      </c>
      <c r="L243" s="12" t="s">
        <v>1413</v>
      </c>
      <c r="M243" s="12" t="s">
        <v>550</v>
      </c>
      <c r="N243" s="12" t="s">
        <v>1257</v>
      </c>
    </row>
    <row r="244" customFormat="false" ht="35.05" hidden="false" customHeight="false" outlineLevel="0" collapsed="false">
      <c r="A244" s="12" t="s">
        <v>1409</v>
      </c>
      <c r="B244" s="12" t="s">
        <v>1190</v>
      </c>
      <c r="C244" s="13" t="s">
        <v>1186</v>
      </c>
      <c r="D244" s="13"/>
      <c r="E244" s="13"/>
      <c r="F244" s="12" t="s">
        <v>94</v>
      </c>
      <c r="G244" s="12" t="s">
        <v>93</v>
      </c>
      <c r="H244" s="12" t="s">
        <v>97</v>
      </c>
      <c r="I244" s="12" t="s">
        <v>104</v>
      </c>
      <c r="J244" s="13" t="s">
        <v>106</v>
      </c>
      <c r="K244" s="17" t="s">
        <v>14</v>
      </c>
      <c r="L244" s="12" t="s">
        <v>1187</v>
      </c>
      <c r="M244" s="12" t="s">
        <v>1380</v>
      </c>
      <c r="N244" s="12" t="s">
        <v>1189</v>
      </c>
    </row>
    <row r="245" customFormat="false" ht="23.85" hidden="false" customHeight="false" outlineLevel="0" collapsed="false">
      <c r="A245" s="12" t="s">
        <v>1409</v>
      </c>
      <c r="B245" s="12" t="s">
        <v>1246</v>
      </c>
      <c r="C245" s="13"/>
      <c r="D245" s="13"/>
      <c r="E245" s="13" t="s">
        <v>1186</v>
      </c>
      <c r="F245" s="12" t="s">
        <v>931</v>
      </c>
      <c r="G245" s="12" t="s">
        <v>930</v>
      </c>
      <c r="H245" s="12" t="s">
        <v>933</v>
      </c>
      <c r="I245" s="12" t="s">
        <v>457</v>
      </c>
      <c r="J245" s="13" t="s">
        <v>106</v>
      </c>
      <c r="K245" s="12" t="s">
        <v>21</v>
      </c>
      <c r="L245" s="12" t="s">
        <v>1222</v>
      </c>
      <c r="M245" s="12" t="s">
        <v>550</v>
      </c>
      <c r="N245" s="12" t="s">
        <v>1197</v>
      </c>
    </row>
    <row r="246" customFormat="false" ht="23.85" hidden="false" customHeight="false" outlineLevel="0" collapsed="false">
      <c r="A246" s="12" t="s">
        <v>1409</v>
      </c>
      <c r="B246" s="12" t="s">
        <v>1414</v>
      </c>
      <c r="C246" s="13"/>
      <c r="D246" s="13"/>
      <c r="E246" s="13" t="s">
        <v>1186</v>
      </c>
      <c r="F246" s="12" t="s">
        <v>775</v>
      </c>
      <c r="G246" s="12" t="s">
        <v>740</v>
      </c>
      <c r="H246" s="12" t="s">
        <v>776</v>
      </c>
      <c r="I246" s="12" t="s">
        <v>244</v>
      </c>
      <c r="J246" s="13" t="s">
        <v>106</v>
      </c>
      <c r="K246" s="12" t="s">
        <v>20</v>
      </c>
      <c r="L246" s="12" t="s">
        <v>1212</v>
      </c>
      <c r="M246" s="12" t="s">
        <v>550</v>
      </c>
      <c r="N246" s="12" t="s">
        <v>1257</v>
      </c>
    </row>
    <row r="247" customFormat="false" ht="23.85" hidden="false" customHeight="false" outlineLevel="0" collapsed="false">
      <c r="A247" s="12" t="s">
        <v>1409</v>
      </c>
      <c r="B247" s="12" t="s">
        <v>1415</v>
      </c>
      <c r="C247" s="13"/>
      <c r="D247" s="13"/>
      <c r="E247" s="13" t="s">
        <v>1186</v>
      </c>
      <c r="F247" s="12" t="s">
        <v>779</v>
      </c>
      <c r="G247" s="12" t="s">
        <v>740</v>
      </c>
      <c r="H247" s="12" t="s">
        <v>780</v>
      </c>
      <c r="I247" s="12" t="s">
        <v>164</v>
      </c>
      <c r="J247" s="13" t="s">
        <v>307</v>
      </c>
      <c r="K247" s="12" t="s">
        <v>20</v>
      </c>
      <c r="L247" s="12" t="s">
        <v>1212</v>
      </c>
      <c r="M247" s="12" t="s">
        <v>550</v>
      </c>
      <c r="N247" s="12" t="s">
        <v>1296</v>
      </c>
    </row>
    <row r="248" customFormat="false" ht="23.85" hidden="false" customHeight="false" outlineLevel="0" collapsed="false">
      <c r="A248" s="12" t="s">
        <v>1409</v>
      </c>
      <c r="B248" s="12" t="s">
        <v>779</v>
      </c>
      <c r="C248" s="13" t="s">
        <v>1186</v>
      </c>
      <c r="D248" s="13"/>
      <c r="E248" s="13"/>
      <c r="F248" s="12" t="s">
        <v>779</v>
      </c>
      <c r="G248" s="12" t="s">
        <v>740</v>
      </c>
      <c r="H248" s="12" t="s">
        <v>780</v>
      </c>
      <c r="I248" s="12" t="s">
        <v>164</v>
      </c>
      <c r="J248" s="13" t="s">
        <v>307</v>
      </c>
      <c r="K248" s="12" t="s">
        <v>20</v>
      </c>
      <c r="L248" s="12" t="s">
        <v>1212</v>
      </c>
      <c r="M248" s="12" t="s">
        <v>550</v>
      </c>
      <c r="N248" s="12" t="s">
        <v>1296</v>
      </c>
    </row>
    <row r="249" customFormat="false" ht="46.25" hidden="false" customHeight="false" outlineLevel="0" collapsed="false">
      <c r="A249" s="12" t="s">
        <v>1409</v>
      </c>
      <c r="B249" s="12" t="s">
        <v>1416</v>
      </c>
      <c r="C249" s="13"/>
      <c r="D249" s="13"/>
      <c r="E249" s="13" t="s">
        <v>1186</v>
      </c>
      <c r="F249" s="12" t="s">
        <v>1171</v>
      </c>
      <c r="G249" s="12" t="s">
        <v>1158</v>
      </c>
      <c r="H249" s="12" t="s">
        <v>1172</v>
      </c>
      <c r="I249" s="12" t="s">
        <v>244</v>
      </c>
      <c r="J249" s="13" t="s">
        <v>244</v>
      </c>
      <c r="K249" s="12" t="s">
        <v>24</v>
      </c>
      <c r="L249" s="12" t="s">
        <v>1233</v>
      </c>
      <c r="M249" s="12" t="s">
        <v>550</v>
      </c>
      <c r="N249" s="12" t="s">
        <v>321</v>
      </c>
    </row>
    <row r="250" customFormat="false" ht="23.85" hidden="false" customHeight="false" outlineLevel="0" collapsed="false">
      <c r="A250" s="12" t="s">
        <v>1409</v>
      </c>
      <c r="B250" s="12" t="s">
        <v>1359</v>
      </c>
      <c r="C250" s="13"/>
      <c r="D250" s="13"/>
      <c r="E250" s="13" t="s">
        <v>1186</v>
      </c>
      <c r="F250" s="12" t="s">
        <v>208</v>
      </c>
      <c r="G250" s="12" t="s">
        <v>93</v>
      </c>
      <c r="H250" s="12" t="s">
        <v>209</v>
      </c>
      <c r="I250" s="12" t="s">
        <v>212</v>
      </c>
      <c r="J250" s="13" t="s">
        <v>106</v>
      </c>
      <c r="K250" s="12" t="s">
        <v>16</v>
      </c>
      <c r="L250" s="12" t="s">
        <v>1198</v>
      </c>
      <c r="M250" s="12" t="s">
        <v>550</v>
      </c>
      <c r="N250" s="12" t="s">
        <v>1226</v>
      </c>
    </row>
    <row r="251" customFormat="false" ht="46.25" hidden="false" customHeight="false" outlineLevel="0" collapsed="false">
      <c r="A251" s="12" t="s">
        <v>1409</v>
      </c>
      <c r="B251" s="12" t="s">
        <v>1417</v>
      </c>
      <c r="C251" s="13"/>
      <c r="D251" s="13" t="s">
        <v>1186</v>
      </c>
      <c r="E251" s="13"/>
      <c r="F251" s="12" t="s">
        <v>1171</v>
      </c>
      <c r="G251" s="12" t="s">
        <v>1158</v>
      </c>
      <c r="H251" s="12" t="s">
        <v>1172</v>
      </c>
      <c r="I251" s="12" t="s">
        <v>244</v>
      </c>
      <c r="J251" s="13" t="s">
        <v>244</v>
      </c>
      <c r="K251" s="12" t="s">
        <v>24</v>
      </c>
      <c r="L251" s="12" t="s">
        <v>1233</v>
      </c>
      <c r="M251" s="12" t="s">
        <v>550</v>
      </c>
      <c r="N251" s="12" t="s">
        <v>321</v>
      </c>
    </row>
    <row r="252" customFormat="false" ht="23.85" hidden="false" customHeight="false" outlineLevel="0" collapsed="false">
      <c r="A252" s="12" t="s">
        <v>1409</v>
      </c>
      <c r="B252" s="12" t="s">
        <v>1418</v>
      </c>
      <c r="C252" s="13" t="s">
        <v>1186</v>
      </c>
      <c r="D252" s="13"/>
      <c r="E252" s="13"/>
      <c r="F252" s="12" t="s">
        <v>1004</v>
      </c>
      <c r="G252" s="12" t="s">
        <v>930</v>
      </c>
      <c r="H252" s="12" t="s">
        <v>1005</v>
      </c>
      <c r="I252" s="12" t="s">
        <v>244</v>
      </c>
      <c r="J252" s="13" t="s">
        <v>106</v>
      </c>
      <c r="K252" s="12" t="s">
        <v>21</v>
      </c>
      <c r="L252" s="12" t="s">
        <v>1222</v>
      </c>
      <c r="M252" s="12" t="s">
        <v>550</v>
      </c>
      <c r="N252" s="12" t="s">
        <v>1217</v>
      </c>
    </row>
    <row r="253" customFormat="false" ht="23.85" hidden="false" customHeight="false" outlineLevel="0" collapsed="false">
      <c r="A253" s="12" t="s">
        <v>1409</v>
      </c>
      <c r="B253" s="12" t="s">
        <v>1419</v>
      </c>
      <c r="C253" s="13"/>
      <c r="D253" s="13" t="s">
        <v>1186</v>
      </c>
      <c r="E253" s="13"/>
      <c r="F253" s="12" t="s">
        <v>975</v>
      </c>
      <c r="G253" s="12" t="s">
        <v>930</v>
      </c>
      <c r="H253" s="12" t="s">
        <v>970</v>
      </c>
      <c r="I253" s="12" t="s">
        <v>177</v>
      </c>
      <c r="J253" s="13" t="s">
        <v>106</v>
      </c>
      <c r="K253" s="12" t="s">
        <v>21</v>
      </c>
      <c r="L253" s="12" t="s">
        <v>1222</v>
      </c>
      <c r="M253" s="12" t="s">
        <v>550</v>
      </c>
      <c r="N253" s="12" t="s">
        <v>1245</v>
      </c>
    </row>
    <row r="254" customFormat="false" ht="35.05" hidden="false" customHeight="false" outlineLevel="0" collapsed="false">
      <c r="A254" s="12" t="s">
        <v>1409</v>
      </c>
      <c r="B254" s="12" t="s">
        <v>1272</v>
      </c>
      <c r="C254" s="13"/>
      <c r="D254" s="13"/>
      <c r="E254" s="13" t="s">
        <v>1186</v>
      </c>
      <c r="F254" s="12" t="s">
        <v>345</v>
      </c>
      <c r="G254" s="12" t="s">
        <v>344</v>
      </c>
      <c r="H254" s="12" t="s">
        <v>347</v>
      </c>
      <c r="I254" s="12" t="s">
        <v>351</v>
      </c>
      <c r="J254" s="13" t="s">
        <v>106</v>
      </c>
      <c r="K254" s="12" t="s">
        <v>16</v>
      </c>
      <c r="L254" s="12" t="s">
        <v>1198</v>
      </c>
      <c r="M254" s="12" t="s">
        <v>550</v>
      </c>
      <c r="N254" s="12" t="s">
        <v>1274</v>
      </c>
    </row>
    <row r="255" customFormat="false" ht="35.05" hidden="false" customHeight="false" outlineLevel="0" collapsed="false">
      <c r="A255" s="12" t="s">
        <v>1409</v>
      </c>
      <c r="B255" s="12" t="s">
        <v>1272</v>
      </c>
      <c r="C255" s="13"/>
      <c r="D255" s="13" t="s">
        <v>1186</v>
      </c>
      <c r="E255" s="13"/>
      <c r="F255" s="12" t="s">
        <v>345</v>
      </c>
      <c r="G255" s="12" t="s">
        <v>344</v>
      </c>
      <c r="H255" s="12" t="s">
        <v>347</v>
      </c>
      <c r="I255" s="12" t="s">
        <v>351</v>
      </c>
      <c r="J255" s="13" t="s">
        <v>106</v>
      </c>
      <c r="K255" s="12" t="s">
        <v>16</v>
      </c>
      <c r="L255" s="12" t="s">
        <v>1198</v>
      </c>
      <c r="M255" s="12" t="s">
        <v>550</v>
      </c>
      <c r="N255" s="12" t="s">
        <v>1274</v>
      </c>
    </row>
    <row r="256" customFormat="false" ht="46.25" hidden="false" customHeight="false" outlineLevel="0" collapsed="false">
      <c r="A256" s="12" t="s">
        <v>1409</v>
      </c>
      <c r="B256" s="12" t="s">
        <v>1420</v>
      </c>
      <c r="C256" s="13"/>
      <c r="D256" s="13" t="s">
        <v>1186</v>
      </c>
      <c r="E256" s="13"/>
      <c r="F256" s="12" t="s">
        <v>1018</v>
      </c>
      <c r="G256" s="12" t="s">
        <v>930</v>
      </c>
      <c r="H256" s="12" t="s">
        <v>1019</v>
      </c>
      <c r="I256" s="12" t="s">
        <v>327</v>
      </c>
      <c r="J256" s="13" t="s">
        <v>106</v>
      </c>
      <c r="K256" s="12" t="s">
        <v>21</v>
      </c>
      <c r="L256" s="12" t="s">
        <v>1269</v>
      </c>
      <c r="M256" s="12" t="s">
        <v>550</v>
      </c>
      <c r="N256" s="12" t="s">
        <v>1223</v>
      </c>
    </row>
    <row r="257" customFormat="false" ht="46.25" hidden="false" customHeight="false" outlineLevel="0" collapsed="false">
      <c r="A257" s="12" t="s">
        <v>1409</v>
      </c>
      <c r="B257" s="12" t="s">
        <v>1421</v>
      </c>
      <c r="C257" s="13"/>
      <c r="D257" s="13"/>
      <c r="E257" s="13" t="s">
        <v>1186</v>
      </c>
      <c r="F257" s="12" t="s">
        <v>1018</v>
      </c>
      <c r="G257" s="12" t="s">
        <v>930</v>
      </c>
      <c r="H257" s="12" t="s">
        <v>1019</v>
      </c>
      <c r="I257" s="12" t="s">
        <v>327</v>
      </c>
      <c r="J257" s="13" t="s">
        <v>106</v>
      </c>
      <c r="K257" s="12" t="s">
        <v>21</v>
      </c>
      <c r="L257" s="12" t="s">
        <v>1269</v>
      </c>
      <c r="M257" s="12" t="s">
        <v>550</v>
      </c>
      <c r="N257" s="12" t="s">
        <v>1223</v>
      </c>
    </row>
    <row r="258" customFormat="false" ht="23.85" hidden="false" customHeight="false" outlineLevel="0" collapsed="false">
      <c r="A258" s="12" t="s">
        <v>1409</v>
      </c>
      <c r="B258" s="12" t="s">
        <v>1395</v>
      </c>
      <c r="C258" s="13" t="s">
        <v>1186</v>
      </c>
      <c r="D258" s="13"/>
      <c r="E258" s="13"/>
      <c r="F258" s="12" t="s">
        <v>898</v>
      </c>
      <c r="G258" s="12" t="s">
        <v>897</v>
      </c>
      <c r="H258" s="12" t="s">
        <v>899</v>
      </c>
      <c r="I258" s="12" t="s">
        <v>631</v>
      </c>
      <c r="J258" s="13" t="s">
        <v>106</v>
      </c>
      <c r="K258" s="12" t="s">
        <v>16</v>
      </c>
      <c r="L258" s="12" t="s">
        <v>1198</v>
      </c>
      <c r="M258" s="12" t="s">
        <v>550</v>
      </c>
      <c r="N258" s="12" t="s">
        <v>1223</v>
      </c>
    </row>
    <row r="259" customFormat="false" ht="23.85" hidden="false" customHeight="false" outlineLevel="0" collapsed="false">
      <c r="A259" s="12" t="s">
        <v>1422</v>
      </c>
      <c r="B259" s="12" t="s">
        <v>1423</v>
      </c>
      <c r="C259" s="13"/>
      <c r="D259" s="13" t="s">
        <v>1186</v>
      </c>
      <c r="E259" s="13"/>
      <c r="F259" s="12" t="s">
        <v>973</v>
      </c>
      <c r="G259" s="12" t="s">
        <v>930</v>
      </c>
      <c r="H259" s="12" t="s">
        <v>970</v>
      </c>
      <c r="I259" s="12" t="s">
        <v>189</v>
      </c>
      <c r="J259" s="13" t="s">
        <v>106</v>
      </c>
      <c r="K259" s="12" t="s">
        <v>21</v>
      </c>
      <c r="L259" s="12" t="s">
        <v>1222</v>
      </c>
      <c r="M259" s="12" t="s">
        <v>550</v>
      </c>
      <c r="N259" s="12" t="s">
        <v>1245</v>
      </c>
    </row>
    <row r="260" customFormat="false" ht="23.85" hidden="false" customHeight="false" outlineLevel="0" collapsed="false">
      <c r="A260" s="12" t="s">
        <v>1422</v>
      </c>
      <c r="B260" s="12" t="s">
        <v>942</v>
      </c>
      <c r="C260" s="13" t="s">
        <v>1186</v>
      </c>
      <c r="D260" s="13"/>
      <c r="E260" s="13"/>
      <c r="F260" s="12" t="s">
        <v>942</v>
      </c>
      <c r="G260" s="12" t="s">
        <v>930</v>
      </c>
      <c r="H260" s="12" t="s">
        <v>944</v>
      </c>
      <c r="I260" s="12" t="s">
        <v>164</v>
      </c>
      <c r="J260" s="13" t="s">
        <v>106</v>
      </c>
      <c r="K260" s="12" t="s">
        <v>21</v>
      </c>
      <c r="L260" s="12" t="s">
        <v>1222</v>
      </c>
      <c r="M260" s="12" t="s">
        <v>550</v>
      </c>
      <c r="N260" s="12" t="s">
        <v>1223</v>
      </c>
    </row>
    <row r="261" customFormat="false" ht="23.85" hidden="false" customHeight="false" outlineLevel="0" collapsed="false">
      <c r="A261" s="12" t="s">
        <v>1422</v>
      </c>
      <c r="B261" s="12" t="s">
        <v>1424</v>
      </c>
      <c r="C261" s="13" t="s">
        <v>1186</v>
      </c>
      <c r="D261" s="13"/>
      <c r="E261" s="13"/>
      <c r="F261" s="12" t="s">
        <v>1000</v>
      </c>
      <c r="G261" s="12" t="s">
        <v>930</v>
      </c>
      <c r="H261" s="12" t="s">
        <v>985</v>
      </c>
      <c r="I261" s="12" t="s">
        <v>702</v>
      </c>
      <c r="J261" s="13" t="s">
        <v>106</v>
      </c>
      <c r="K261" s="12" t="s">
        <v>21</v>
      </c>
      <c r="L261" s="12" t="s">
        <v>1222</v>
      </c>
      <c r="M261" s="12" t="s">
        <v>550</v>
      </c>
      <c r="N261" s="12" t="s">
        <v>1217</v>
      </c>
    </row>
    <row r="262" customFormat="false" ht="46.25" hidden="false" customHeight="false" outlineLevel="0" collapsed="false">
      <c r="A262" s="12" t="s">
        <v>1422</v>
      </c>
      <c r="B262" s="12" t="s">
        <v>135</v>
      </c>
      <c r="C262" s="13"/>
      <c r="D262" s="13"/>
      <c r="E262" s="13" t="s">
        <v>1186</v>
      </c>
      <c r="F262" s="12" t="s">
        <v>135</v>
      </c>
      <c r="G262" s="12" t="s">
        <v>93</v>
      </c>
      <c r="H262" s="12" t="s">
        <v>137</v>
      </c>
      <c r="I262" s="12" t="s">
        <v>104</v>
      </c>
      <c r="J262" s="13" t="s">
        <v>106</v>
      </c>
      <c r="K262" s="17" t="s">
        <v>14</v>
      </c>
      <c r="L262" s="12" t="s">
        <v>1187</v>
      </c>
      <c r="M262" s="12" t="s">
        <v>1425</v>
      </c>
      <c r="N262" s="12" t="s">
        <v>1229</v>
      </c>
    </row>
    <row r="263" customFormat="false" ht="46.25" hidden="false" customHeight="false" outlineLevel="0" collapsed="false">
      <c r="A263" s="12" t="s">
        <v>1422</v>
      </c>
      <c r="B263" s="12" t="s">
        <v>135</v>
      </c>
      <c r="C263" s="13" t="s">
        <v>1186</v>
      </c>
      <c r="D263" s="13"/>
      <c r="E263" s="13"/>
      <c r="F263" s="12" t="s">
        <v>135</v>
      </c>
      <c r="G263" s="12" t="s">
        <v>93</v>
      </c>
      <c r="H263" s="12" t="s">
        <v>137</v>
      </c>
      <c r="I263" s="12" t="s">
        <v>104</v>
      </c>
      <c r="J263" s="13" t="s">
        <v>106</v>
      </c>
      <c r="K263" s="17" t="s">
        <v>14</v>
      </c>
      <c r="L263" s="12" t="s">
        <v>1187</v>
      </c>
      <c r="M263" s="12" t="s">
        <v>1425</v>
      </c>
      <c r="N263" s="12" t="s">
        <v>1229</v>
      </c>
    </row>
    <row r="264" customFormat="false" ht="23.85" hidden="false" customHeight="false" outlineLevel="0" collapsed="false">
      <c r="A264" s="12" t="s">
        <v>1422</v>
      </c>
      <c r="B264" s="12" t="s">
        <v>1426</v>
      </c>
      <c r="C264" s="13"/>
      <c r="D264" s="13"/>
      <c r="E264" s="13" t="s">
        <v>1186</v>
      </c>
      <c r="F264" s="12" t="s">
        <v>201</v>
      </c>
      <c r="G264" s="12" t="s">
        <v>93</v>
      </c>
      <c r="H264" s="12" t="s">
        <v>202</v>
      </c>
      <c r="I264" s="12" t="s">
        <v>104</v>
      </c>
      <c r="J264" s="13" t="s">
        <v>106</v>
      </c>
      <c r="K264" s="12" t="s">
        <v>16</v>
      </c>
      <c r="L264" s="12" t="s">
        <v>1198</v>
      </c>
      <c r="M264" s="12" t="s">
        <v>550</v>
      </c>
      <c r="N264" s="12" t="s">
        <v>1231</v>
      </c>
    </row>
    <row r="265" customFormat="false" ht="23.85" hidden="false" customHeight="false" outlineLevel="0" collapsed="false">
      <c r="A265" s="12" t="s">
        <v>1422</v>
      </c>
      <c r="B265" s="12" t="s">
        <v>1427</v>
      </c>
      <c r="C265" s="13"/>
      <c r="D265" s="13"/>
      <c r="E265" s="13" t="s">
        <v>1186</v>
      </c>
      <c r="F265" s="12" t="s">
        <v>247</v>
      </c>
      <c r="G265" s="12" t="s">
        <v>224</v>
      </c>
      <c r="H265" s="12" t="s">
        <v>248</v>
      </c>
      <c r="I265" s="12" t="s">
        <v>189</v>
      </c>
      <c r="J265" s="13" t="s">
        <v>106</v>
      </c>
      <c r="K265" s="12" t="s">
        <v>16</v>
      </c>
      <c r="L265" s="12" t="s">
        <v>1198</v>
      </c>
      <c r="M265" s="12" t="s">
        <v>550</v>
      </c>
      <c r="N265" s="12" t="s">
        <v>1231</v>
      </c>
    </row>
    <row r="266" customFormat="false" ht="23.85" hidden="false" customHeight="false" outlineLevel="0" collapsed="false">
      <c r="A266" s="12" t="s">
        <v>1422</v>
      </c>
      <c r="B266" s="12" t="s">
        <v>1428</v>
      </c>
      <c r="C266" s="13"/>
      <c r="D266" s="13" t="s">
        <v>1186</v>
      </c>
      <c r="E266" s="13"/>
      <c r="F266" s="12" t="s">
        <v>931</v>
      </c>
      <c r="G266" s="12" t="s">
        <v>930</v>
      </c>
      <c r="H266" s="12" t="s">
        <v>933</v>
      </c>
      <c r="I266" s="12" t="s">
        <v>457</v>
      </c>
      <c r="J266" s="13" t="s">
        <v>106</v>
      </c>
      <c r="K266" s="12" t="s">
        <v>21</v>
      </c>
      <c r="L266" s="12" t="s">
        <v>1222</v>
      </c>
      <c r="M266" s="12" t="s">
        <v>550</v>
      </c>
      <c r="N266" s="12" t="s">
        <v>1197</v>
      </c>
    </row>
    <row r="267" customFormat="false" ht="35.05" hidden="false" customHeight="false" outlineLevel="0" collapsed="false">
      <c r="A267" s="12" t="s">
        <v>1422</v>
      </c>
      <c r="B267" s="12" t="s">
        <v>1190</v>
      </c>
      <c r="C267" s="13" t="s">
        <v>1186</v>
      </c>
      <c r="D267" s="13" t="s">
        <v>1186</v>
      </c>
      <c r="E267" s="13"/>
      <c r="F267" s="12" t="s">
        <v>94</v>
      </c>
      <c r="G267" s="12" t="s">
        <v>93</v>
      </c>
      <c r="H267" s="12" t="s">
        <v>97</v>
      </c>
      <c r="I267" s="12" t="s">
        <v>104</v>
      </c>
      <c r="J267" s="13" t="s">
        <v>106</v>
      </c>
      <c r="K267" s="17" t="s">
        <v>14</v>
      </c>
      <c r="L267" s="12" t="s">
        <v>1187</v>
      </c>
      <c r="M267" s="12" t="s">
        <v>1380</v>
      </c>
      <c r="N267" s="12" t="s">
        <v>1189</v>
      </c>
    </row>
    <row r="268" customFormat="false" ht="35.05" hidden="false" customHeight="false" outlineLevel="0" collapsed="false">
      <c r="A268" s="12" t="s">
        <v>1422</v>
      </c>
      <c r="B268" s="12" t="s">
        <v>1190</v>
      </c>
      <c r="C268" s="13" t="s">
        <v>1186</v>
      </c>
      <c r="D268" s="13" t="s">
        <v>1186</v>
      </c>
      <c r="E268" s="13"/>
      <c r="F268" s="12" t="s">
        <v>94</v>
      </c>
      <c r="G268" s="12" t="s">
        <v>93</v>
      </c>
      <c r="H268" s="12" t="s">
        <v>97</v>
      </c>
      <c r="I268" s="12" t="s">
        <v>104</v>
      </c>
      <c r="J268" s="13" t="s">
        <v>106</v>
      </c>
      <c r="K268" s="17" t="s">
        <v>14</v>
      </c>
      <c r="L268" s="12" t="s">
        <v>1187</v>
      </c>
      <c r="M268" s="12" t="s">
        <v>1380</v>
      </c>
      <c r="N268" s="12" t="s">
        <v>1189</v>
      </c>
    </row>
    <row r="269" customFormat="false" ht="35.05" hidden="false" customHeight="false" outlineLevel="0" collapsed="false">
      <c r="A269" s="12" t="s">
        <v>1422</v>
      </c>
      <c r="B269" s="12" t="s">
        <v>1190</v>
      </c>
      <c r="C269" s="13" t="s">
        <v>1186</v>
      </c>
      <c r="D269" s="13"/>
      <c r="E269" s="13"/>
      <c r="F269" s="12" t="s">
        <v>94</v>
      </c>
      <c r="G269" s="12" t="s">
        <v>93</v>
      </c>
      <c r="H269" s="12" t="s">
        <v>97</v>
      </c>
      <c r="I269" s="12" t="s">
        <v>104</v>
      </c>
      <c r="J269" s="13" t="s">
        <v>106</v>
      </c>
      <c r="K269" s="17" t="s">
        <v>14</v>
      </c>
      <c r="L269" s="12" t="s">
        <v>1187</v>
      </c>
      <c r="M269" s="12" t="s">
        <v>1380</v>
      </c>
      <c r="N269" s="12" t="s">
        <v>1189</v>
      </c>
    </row>
    <row r="270" customFormat="false" ht="35.05" hidden="false" customHeight="false" outlineLevel="0" collapsed="false">
      <c r="A270" s="12" t="s">
        <v>1422</v>
      </c>
      <c r="B270" s="12" t="s">
        <v>1190</v>
      </c>
      <c r="C270" s="13"/>
      <c r="D270" s="13" t="s">
        <v>1186</v>
      </c>
      <c r="E270" s="13"/>
      <c r="F270" s="12" t="s">
        <v>94</v>
      </c>
      <c r="G270" s="12" t="s">
        <v>93</v>
      </c>
      <c r="H270" s="12" t="s">
        <v>97</v>
      </c>
      <c r="I270" s="12" t="s">
        <v>104</v>
      </c>
      <c r="J270" s="13" t="s">
        <v>106</v>
      </c>
      <c r="K270" s="17" t="s">
        <v>14</v>
      </c>
      <c r="L270" s="12" t="s">
        <v>1187</v>
      </c>
      <c r="M270" s="12" t="s">
        <v>1380</v>
      </c>
      <c r="N270" s="12" t="s">
        <v>1189</v>
      </c>
    </row>
    <row r="271" customFormat="false" ht="68.65" hidden="false" customHeight="false" outlineLevel="0" collapsed="false">
      <c r="A271" s="12" t="s">
        <v>1422</v>
      </c>
      <c r="B271" s="12" t="s">
        <v>1384</v>
      </c>
      <c r="C271" s="13" t="s">
        <v>1186</v>
      </c>
      <c r="D271" s="13" t="s">
        <v>1186</v>
      </c>
      <c r="E271" s="13" t="s">
        <v>1186</v>
      </c>
      <c r="F271" s="12" t="s">
        <v>1139</v>
      </c>
      <c r="G271" s="12" t="s">
        <v>1138</v>
      </c>
      <c r="H271" s="12" t="s">
        <v>1140</v>
      </c>
      <c r="I271" s="12" t="s">
        <v>244</v>
      </c>
      <c r="J271" s="13" t="s">
        <v>244</v>
      </c>
      <c r="K271" s="12" t="s">
        <v>22</v>
      </c>
      <c r="L271" s="12" t="s">
        <v>1196</v>
      </c>
      <c r="M271" s="12" t="s">
        <v>550</v>
      </c>
      <c r="N271" s="12" t="s">
        <v>1197</v>
      </c>
    </row>
    <row r="272" customFormat="false" ht="35.05" hidden="false" customHeight="false" outlineLevel="0" collapsed="false">
      <c r="A272" s="12" t="s">
        <v>1422</v>
      </c>
      <c r="B272" s="12" t="s">
        <v>1203</v>
      </c>
      <c r="C272" s="13" t="s">
        <v>1186</v>
      </c>
      <c r="D272" s="13"/>
      <c r="E272" s="13"/>
      <c r="F272" s="12" t="s">
        <v>124</v>
      </c>
      <c r="G272" s="12" t="s">
        <v>93</v>
      </c>
      <c r="H272" s="12" t="s">
        <v>126</v>
      </c>
      <c r="I272" s="12" t="s">
        <v>104</v>
      </c>
      <c r="J272" s="13" t="s">
        <v>106</v>
      </c>
      <c r="K272" s="17" t="s">
        <v>14</v>
      </c>
      <c r="L272" s="12" t="s">
        <v>1187</v>
      </c>
      <c r="M272" s="12" t="s">
        <v>1429</v>
      </c>
      <c r="N272" s="12" t="s">
        <v>1189</v>
      </c>
    </row>
    <row r="273" customFormat="false" ht="23.85" hidden="false" customHeight="false" outlineLevel="0" collapsed="false">
      <c r="A273" s="12" t="s">
        <v>1422</v>
      </c>
      <c r="B273" s="12" t="s">
        <v>1241</v>
      </c>
      <c r="C273" s="13"/>
      <c r="D273" s="13"/>
      <c r="E273" s="13" t="s">
        <v>1186</v>
      </c>
      <c r="F273" s="12" t="s">
        <v>274</v>
      </c>
      <c r="G273" s="12" t="s">
        <v>224</v>
      </c>
      <c r="H273" s="12" t="s">
        <v>276</v>
      </c>
      <c r="I273" s="12" t="s">
        <v>189</v>
      </c>
      <c r="J273" s="13" t="s">
        <v>106</v>
      </c>
      <c r="K273" s="12" t="s">
        <v>16</v>
      </c>
      <c r="L273" s="12" t="s">
        <v>1198</v>
      </c>
      <c r="M273" s="12" t="s">
        <v>550</v>
      </c>
      <c r="N273" s="12" t="s">
        <v>1243</v>
      </c>
    </row>
    <row r="274" customFormat="false" ht="23.85" hidden="false" customHeight="false" outlineLevel="0" collapsed="false">
      <c r="A274" s="12" t="s">
        <v>1422</v>
      </c>
      <c r="B274" s="12" t="s">
        <v>1246</v>
      </c>
      <c r="C274" s="13"/>
      <c r="D274" s="13"/>
      <c r="E274" s="13" t="s">
        <v>1186</v>
      </c>
      <c r="F274" s="12" t="s">
        <v>931</v>
      </c>
      <c r="G274" s="12" t="s">
        <v>930</v>
      </c>
      <c r="H274" s="12" t="s">
        <v>933</v>
      </c>
      <c r="I274" s="12" t="s">
        <v>457</v>
      </c>
      <c r="J274" s="13" t="s">
        <v>106</v>
      </c>
      <c r="K274" s="12" t="s">
        <v>21</v>
      </c>
      <c r="L274" s="12" t="s">
        <v>1222</v>
      </c>
      <c r="M274" s="12" t="s">
        <v>550</v>
      </c>
      <c r="N274" s="12" t="s">
        <v>1197</v>
      </c>
    </row>
    <row r="275" customFormat="false" ht="23.85" hidden="false" customHeight="false" outlineLevel="0" collapsed="false">
      <c r="A275" s="12" t="s">
        <v>1422</v>
      </c>
      <c r="B275" s="12" t="s">
        <v>1430</v>
      </c>
      <c r="C275" s="13"/>
      <c r="D275" s="13"/>
      <c r="E275" s="13" t="s">
        <v>1186</v>
      </c>
      <c r="F275" s="12" t="s">
        <v>421</v>
      </c>
      <c r="G275" s="12" t="s">
        <v>344</v>
      </c>
      <c r="H275" s="12" t="s">
        <v>422</v>
      </c>
      <c r="I275" s="12" t="s">
        <v>244</v>
      </c>
      <c r="J275" s="13" t="s">
        <v>244</v>
      </c>
      <c r="K275" s="12" t="s">
        <v>24</v>
      </c>
      <c r="L275" s="12" t="s">
        <v>1233</v>
      </c>
      <c r="M275" s="12" t="s">
        <v>550</v>
      </c>
      <c r="N275" s="12" t="s">
        <v>1257</v>
      </c>
    </row>
    <row r="276" customFormat="false" ht="23.85" hidden="false" customHeight="false" outlineLevel="0" collapsed="false">
      <c r="A276" s="12" t="s">
        <v>1422</v>
      </c>
      <c r="B276" s="12" t="s">
        <v>984</v>
      </c>
      <c r="C276" s="13" t="s">
        <v>1186</v>
      </c>
      <c r="D276" s="13"/>
      <c r="E276" s="13"/>
      <c r="F276" s="12" t="s">
        <v>984</v>
      </c>
      <c r="G276" s="12" t="s">
        <v>930</v>
      </c>
      <c r="H276" s="12" t="s">
        <v>985</v>
      </c>
      <c r="I276" s="12" t="s">
        <v>702</v>
      </c>
      <c r="J276" s="13" t="s">
        <v>106</v>
      </c>
      <c r="K276" s="12" t="s">
        <v>21</v>
      </c>
      <c r="L276" s="12" t="s">
        <v>1222</v>
      </c>
      <c r="M276" s="12" t="s">
        <v>550</v>
      </c>
      <c r="N276" s="12" t="s">
        <v>1217</v>
      </c>
    </row>
    <row r="277" customFormat="false" ht="68.65" hidden="false" customHeight="false" outlineLevel="0" collapsed="false">
      <c r="A277" s="12" t="s">
        <v>1422</v>
      </c>
      <c r="B277" s="12" t="s">
        <v>1431</v>
      </c>
      <c r="C277" s="13"/>
      <c r="D277" s="13" t="s">
        <v>1186</v>
      </c>
      <c r="E277" s="13"/>
      <c r="F277" s="12" t="s">
        <v>1139</v>
      </c>
      <c r="G277" s="12" t="s">
        <v>1138</v>
      </c>
      <c r="H277" s="12" t="s">
        <v>1140</v>
      </c>
      <c r="I277" s="12" t="s">
        <v>244</v>
      </c>
      <c r="J277" s="13" t="s">
        <v>244</v>
      </c>
      <c r="K277" s="12" t="s">
        <v>22</v>
      </c>
      <c r="L277" s="12" t="s">
        <v>1196</v>
      </c>
      <c r="M277" s="12" t="s">
        <v>550</v>
      </c>
      <c r="N277" s="12" t="s">
        <v>1197</v>
      </c>
    </row>
    <row r="278" customFormat="false" ht="68.65" hidden="false" customHeight="false" outlineLevel="0" collapsed="false">
      <c r="A278" s="12" t="s">
        <v>1422</v>
      </c>
      <c r="B278" s="12" t="s">
        <v>1431</v>
      </c>
      <c r="C278" s="13" t="s">
        <v>1186</v>
      </c>
      <c r="D278" s="13" t="s">
        <v>1186</v>
      </c>
      <c r="E278" s="13" t="s">
        <v>1186</v>
      </c>
      <c r="F278" s="12" t="s">
        <v>1139</v>
      </c>
      <c r="G278" s="12" t="s">
        <v>1138</v>
      </c>
      <c r="H278" s="12" t="s">
        <v>1140</v>
      </c>
      <c r="I278" s="12" t="s">
        <v>244</v>
      </c>
      <c r="J278" s="13" t="s">
        <v>244</v>
      </c>
      <c r="K278" s="12" t="s">
        <v>22</v>
      </c>
      <c r="L278" s="12" t="s">
        <v>1196</v>
      </c>
      <c r="M278" s="12" t="s">
        <v>550</v>
      </c>
      <c r="N278" s="12" t="s">
        <v>1197</v>
      </c>
    </row>
    <row r="279" customFormat="false" ht="68.65" hidden="false" customHeight="false" outlineLevel="0" collapsed="false">
      <c r="A279" s="12" t="s">
        <v>1422</v>
      </c>
      <c r="B279" s="12" t="s">
        <v>1431</v>
      </c>
      <c r="C279" s="13"/>
      <c r="D279" s="13"/>
      <c r="E279" s="13" t="s">
        <v>1186</v>
      </c>
      <c r="F279" s="12" t="s">
        <v>1139</v>
      </c>
      <c r="G279" s="12" t="s">
        <v>1138</v>
      </c>
      <c r="H279" s="12" t="s">
        <v>1140</v>
      </c>
      <c r="I279" s="12" t="s">
        <v>244</v>
      </c>
      <c r="J279" s="13" t="s">
        <v>244</v>
      </c>
      <c r="K279" s="12" t="s">
        <v>22</v>
      </c>
      <c r="L279" s="12" t="s">
        <v>1196</v>
      </c>
      <c r="M279" s="12" t="s">
        <v>550</v>
      </c>
      <c r="N279" s="12" t="s">
        <v>1197</v>
      </c>
    </row>
    <row r="280" customFormat="false" ht="23.85" hidden="false" customHeight="false" outlineLevel="0" collapsed="false">
      <c r="A280" s="12" t="s">
        <v>1422</v>
      </c>
      <c r="B280" s="12" t="s">
        <v>1432</v>
      </c>
      <c r="C280" s="13"/>
      <c r="D280" s="13" t="s">
        <v>1186</v>
      </c>
      <c r="E280" s="13"/>
      <c r="F280" s="12" t="s">
        <v>416</v>
      </c>
      <c r="G280" s="12" t="s">
        <v>344</v>
      </c>
      <c r="H280" s="12" t="s">
        <v>401</v>
      </c>
      <c r="I280" s="12" t="s">
        <v>164</v>
      </c>
      <c r="J280" s="13" t="s">
        <v>106</v>
      </c>
      <c r="K280" s="12" t="s">
        <v>20</v>
      </c>
      <c r="L280" s="12" t="s">
        <v>1212</v>
      </c>
      <c r="M280" s="12" t="s">
        <v>550</v>
      </c>
      <c r="N280" s="12" t="s">
        <v>1245</v>
      </c>
    </row>
    <row r="281" customFormat="false" ht="68.65" hidden="false" customHeight="false" outlineLevel="0" collapsed="false">
      <c r="A281" s="12" t="s">
        <v>1422</v>
      </c>
      <c r="B281" s="12" t="s">
        <v>1433</v>
      </c>
      <c r="C281" s="13"/>
      <c r="D281" s="13" t="s">
        <v>1186</v>
      </c>
      <c r="E281" s="13"/>
      <c r="F281" s="12" t="s">
        <v>1139</v>
      </c>
      <c r="G281" s="12" t="s">
        <v>1138</v>
      </c>
      <c r="H281" s="12" t="s">
        <v>1140</v>
      </c>
      <c r="I281" s="12" t="s">
        <v>244</v>
      </c>
      <c r="J281" s="13" t="s">
        <v>244</v>
      </c>
      <c r="K281" s="12" t="s">
        <v>22</v>
      </c>
      <c r="L281" s="12" t="s">
        <v>1196</v>
      </c>
      <c r="M281" s="12" t="s">
        <v>550</v>
      </c>
      <c r="N281" s="12" t="s">
        <v>1197</v>
      </c>
    </row>
    <row r="282" customFormat="false" ht="68.65" hidden="false" customHeight="false" outlineLevel="0" collapsed="false">
      <c r="A282" s="12" t="s">
        <v>1422</v>
      </c>
      <c r="B282" s="12" t="s">
        <v>1434</v>
      </c>
      <c r="C282" s="13"/>
      <c r="D282" s="13" t="s">
        <v>1186</v>
      </c>
      <c r="E282" s="13"/>
      <c r="F282" s="12" t="s">
        <v>1139</v>
      </c>
      <c r="G282" s="12" t="s">
        <v>1138</v>
      </c>
      <c r="H282" s="12" t="s">
        <v>1140</v>
      </c>
      <c r="I282" s="12" t="s">
        <v>244</v>
      </c>
      <c r="J282" s="13" t="s">
        <v>244</v>
      </c>
      <c r="K282" s="12" t="s">
        <v>22</v>
      </c>
      <c r="L282" s="12" t="s">
        <v>1196</v>
      </c>
      <c r="M282" s="12" t="s">
        <v>550</v>
      </c>
      <c r="N282" s="12" t="s">
        <v>1197</v>
      </c>
    </row>
    <row r="283" customFormat="false" ht="68.65" hidden="false" customHeight="false" outlineLevel="0" collapsed="false">
      <c r="A283" s="12" t="s">
        <v>1422</v>
      </c>
      <c r="B283" s="12" t="s">
        <v>82</v>
      </c>
      <c r="C283" s="13" t="s">
        <v>1186</v>
      </c>
      <c r="D283" s="13"/>
      <c r="E283" s="13"/>
      <c r="F283" s="12" t="s">
        <v>1139</v>
      </c>
      <c r="G283" s="12" t="s">
        <v>1138</v>
      </c>
      <c r="H283" s="12" t="s">
        <v>1140</v>
      </c>
      <c r="I283" s="12" t="s">
        <v>244</v>
      </c>
      <c r="J283" s="13" t="s">
        <v>244</v>
      </c>
      <c r="K283" s="12" t="s">
        <v>22</v>
      </c>
      <c r="L283" s="12" t="s">
        <v>1196</v>
      </c>
      <c r="M283" s="12" t="s">
        <v>550</v>
      </c>
      <c r="N283" s="12" t="s">
        <v>1197</v>
      </c>
    </row>
    <row r="284" customFormat="false" ht="68.65" hidden="false" customHeight="false" outlineLevel="0" collapsed="false">
      <c r="A284" s="12" t="s">
        <v>1422</v>
      </c>
      <c r="B284" s="12" t="s">
        <v>1435</v>
      </c>
      <c r="C284" s="13"/>
      <c r="D284" s="13"/>
      <c r="E284" s="13" t="s">
        <v>1186</v>
      </c>
      <c r="F284" s="12" t="s">
        <v>1139</v>
      </c>
      <c r="G284" s="12" t="s">
        <v>1138</v>
      </c>
      <c r="H284" s="12" t="s">
        <v>1140</v>
      </c>
      <c r="I284" s="12" t="s">
        <v>244</v>
      </c>
      <c r="J284" s="13" t="s">
        <v>244</v>
      </c>
      <c r="K284" s="12" t="s">
        <v>22</v>
      </c>
      <c r="L284" s="12" t="s">
        <v>1196</v>
      </c>
      <c r="M284" s="12" t="s">
        <v>550</v>
      </c>
      <c r="N284" s="12" t="s">
        <v>1197</v>
      </c>
    </row>
    <row r="285" customFormat="false" ht="23.85" hidden="false" customHeight="false" outlineLevel="0" collapsed="false">
      <c r="A285" s="12" t="s">
        <v>1422</v>
      </c>
      <c r="B285" s="12" t="s">
        <v>1436</v>
      </c>
      <c r="C285" s="13"/>
      <c r="D285" s="13"/>
      <c r="E285" s="13" t="s">
        <v>1186</v>
      </c>
      <c r="F285" s="12" t="s">
        <v>410</v>
      </c>
      <c r="G285" s="12" t="s">
        <v>344</v>
      </c>
      <c r="H285" s="12" t="s">
        <v>401</v>
      </c>
      <c r="I285" s="12" t="s">
        <v>164</v>
      </c>
      <c r="J285" s="13" t="s">
        <v>106</v>
      </c>
      <c r="K285" s="12" t="s">
        <v>16</v>
      </c>
      <c r="L285" s="12" t="s">
        <v>1198</v>
      </c>
      <c r="M285" s="12" t="s">
        <v>550</v>
      </c>
      <c r="N285" s="12" t="s">
        <v>1234</v>
      </c>
    </row>
    <row r="286" customFormat="false" ht="23.85" hidden="false" customHeight="false" outlineLevel="0" collapsed="false">
      <c r="A286" s="12" t="s">
        <v>1422</v>
      </c>
      <c r="B286" s="12" t="s">
        <v>1437</v>
      </c>
      <c r="C286" s="13"/>
      <c r="D286" s="13"/>
      <c r="E286" s="13" t="s">
        <v>1186</v>
      </c>
      <c r="F286" s="12" t="s">
        <v>992</v>
      </c>
      <c r="G286" s="12" t="s">
        <v>930</v>
      </c>
      <c r="H286" s="12" t="s">
        <v>978</v>
      </c>
      <c r="I286" s="12" t="s">
        <v>980</v>
      </c>
      <c r="J286" s="13" t="s">
        <v>106</v>
      </c>
      <c r="K286" s="12" t="s">
        <v>21</v>
      </c>
      <c r="L286" s="12" t="s">
        <v>1222</v>
      </c>
      <c r="M286" s="12" t="s">
        <v>550</v>
      </c>
      <c r="N286" s="12" t="s">
        <v>1234</v>
      </c>
    </row>
    <row r="287" customFormat="false" ht="68.65" hidden="false" customHeight="false" outlineLevel="0" collapsed="false">
      <c r="A287" s="12" t="s">
        <v>1422</v>
      </c>
      <c r="B287" s="12" t="s">
        <v>1438</v>
      </c>
      <c r="C287" s="13" t="s">
        <v>1186</v>
      </c>
      <c r="D287" s="13" t="s">
        <v>1186</v>
      </c>
      <c r="E287" s="13"/>
      <c r="F287" s="12" t="s">
        <v>1139</v>
      </c>
      <c r="G287" s="12" t="s">
        <v>1138</v>
      </c>
      <c r="H287" s="12" t="s">
        <v>1140</v>
      </c>
      <c r="I287" s="12" t="s">
        <v>244</v>
      </c>
      <c r="J287" s="13" t="s">
        <v>244</v>
      </c>
      <c r="K287" s="12" t="s">
        <v>22</v>
      </c>
      <c r="L287" s="12" t="s">
        <v>1196</v>
      </c>
      <c r="M287" s="12" t="s">
        <v>550</v>
      </c>
      <c r="N287" s="12" t="s">
        <v>1197</v>
      </c>
    </row>
    <row r="288" customFormat="false" ht="23.85" hidden="false" customHeight="false" outlineLevel="0" collapsed="false">
      <c r="A288" s="12" t="s">
        <v>1422</v>
      </c>
      <c r="B288" s="12" t="s">
        <v>1439</v>
      </c>
      <c r="C288" s="13" t="s">
        <v>1186</v>
      </c>
      <c r="D288" s="13"/>
      <c r="E288" s="13"/>
      <c r="F288" s="12" t="s">
        <v>998</v>
      </c>
      <c r="G288" s="12" t="s">
        <v>930</v>
      </c>
      <c r="H288" s="12" t="s">
        <v>978</v>
      </c>
      <c r="I288" s="12" t="s">
        <v>980</v>
      </c>
      <c r="J288" s="13" t="s">
        <v>106</v>
      </c>
      <c r="K288" s="12" t="s">
        <v>21</v>
      </c>
      <c r="L288" s="12" t="s">
        <v>1222</v>
      </c>
      <c r="M288" s="12" t="s">
        <v>550</v>
      </c>
      <c r="N288" s="12" t="s">
        <v>1294</v>
      </c>
    </row>
    <row r="289" customFormat="false" ht="23.85" hidden="false" customHeight="false" outlineLevel="0" collapsed="false">
      <c r="A289" s="12" t="s">
        <v>1422</v>
      </c>
      <c r="B289" s="12" t="s">
        <v>1440</v>
      </c>
      <c r="C289" s="13"/>
      <c r="D289" s="13" t="s">
        <v>1186</v>
      </c>
      <c r="E289" s="13"/>
      <c r="F289" s="12" t="s">
        <v>998</v>
      </c>
      <c r="G289" s="12" t="s">
        <v>930</v>
      </c>
      <c r="H289" s="12" t="s">
        <v>978</v>
      </c>
      <c r="I289" s="12" t="s">
        <v>980</v>
      </c>
      <c r="J289" s="13" t="s">
        <v>106</v>
      </c>
      <c r="K289" s="12" t="s">
        <v>21</v>
      </c>
      <c r="L289" s="12" t="s">
        <v>1222</v>
      </c>
      <c r="M289" s="12" t="s">
        <v>550</v>
      </c>
      <c r="N289" s="12" t="s">
        <v>1294</v>
      </c>
    </row>
    <row r="290" customFormat="false" ht="23.85" hidden="false" customHeight="false" outlineLevel="0" collapsed="false">
      <c r="A290" s="12" t="s">
        <v>1422</v>
      </c>
      <c r="B290" s="12" t="s">
        <v>1441</v>
      </c>
      <c r="C290" s="13"/>
      <c r="D290" s="13" t="s">
        <v>1186</v>
      </c>
      <c r="E290" s="13"/>
      <c r="F290" s="12" t="s">
        <v>973</v>
      </c>
      <c r="G290" s="12" t="s">
        <v>930</v>
      </c>
      <c r="H290" s="12" t="s">
        <v>970</v>
      </c>
      <c r="I290" s="12" t="s">
        <v>189</v>
      </c>
      <c r="J290" s="13" t="s">
        <v>106</v>
      </c>
      <c r="K290" s="12" t="s">
        <v>21</v>
      </c>
      <c r="L290" s="12" t="s">
        <v>1222</v>
      </c>
      <c r="M290" s="12" t="s">
        <v>550</v>
      </c>
      <c r="N290" s="12" t="s">
        <v>1245</v>
      </c>
    </row>
    <row r="291" customFormat="false" ht="46.25" hidden="false" customHeight="false" outlineLevel="0" collapsed="false">
      <c r="A291" s="12" t="s">
        <v>1422</v>
      </c>
      <c r="B291" s="12" t="s">
        <v>1442</v>
      </c>
      <c r="C291" s="13"/>
      <c r="D291" s="13"/>
      <c r="E291" s="13" t="s">
        <v>1186</v>
      </c>
      <c r="F291" s="12" t="s">
        <v>1018</v>
      </c>
      <c r="G291" s="12" t="s">
        <v>930</v>
      </c>
      <c r="H291" s="12" t="s">
        <v>1019</v>
      </c>
      <c r="I291" s="12" t="s">
        <v>327</v>
      </c>
      <c r="J291" s="13" t="s">
        <v>106</v>
      </c>
      <c r="K291" s="12" t="s">
        <v>21</v>
      </c>
      <c r="L291" s="12" t="s">
        <v>1269</v>
      </c>
      <c r="M291" s="12" t="s">
        <v>550</v>
      </c>
      <c r="N291" s="12" t="s">
        <v>1223</v>
      </c>
    </row>
    <row r="292" customFormat="false" ht="46.25" hidden="false" customHeight="false" outlineLevel="0" collapsed="false">
      <c r="A292" s="12" t="s">
        <v>1422</v>
      </c>
      <c r="B292" s="12" t="s">
        <v>1443</v>
      </c>
      <c r="C292" s="13"/>
      <c r="D292" s="13" t="s">
        <v>1186</v>
      </c>
      <c r="E292" s="13"/>
      <c r="F292" s="12" t="s">
        <v>1018</v>
      </c>
      <c r="G292" s="12" t="s">
        <v>930</v>
      </c>
      <c r="H292" s="12" t="s">
        <v>1019</v>
      </c>
      <c r="I292" s="12" t="s">
        <v>327</v>
      </c>
      <c r="J292" s="13" t="s">
        <v>106</v>
      </c>
      <c r="K292" s="12" t="s">
        <v>21</v>
      </c>
      <c r="L292" s="12" t="s">
        <v>1269</v>
      </c>
      <c r="M292" s="12" t="s">
        <v>550</v>
      </c>
      <c r="N292" s="12" t="s">
        <v>1223</v>
      </c>
    </row>
    <row r="293" customFormat="false" ht="23.85" hidden="false" customHeight="false" outlineLevel="0" collapsed="false">
      <c r="A293" s="12" t="s">
        <v>1422</v>
      </c>
      <c r="B293" s="12" t="s">
        <v>1278</v>
      </c>
      <c r="C293" s="13" t="s">
        <v>1186</v>
      </c>
      <c r="D293" s="13"/>
      <c r="E293" s="13"/>
      <c r="F293" s="12" t="s">
        <v>977</v>
      </c>
      <c r="G293" s="12" t="s">
        <v>930</v>
      </c>
      <c r="H293" s="12" t="s">
        <v>978</v>
      </c>
      <c r="I293" s="12" t="s">
        <v>980</v>
      </c>
      <c r="J293" s="13" t="s">
        <v>106</v>
      </c>
      <c r="K293" s="12" t="s">
        <v>21</v>
      </c>
      <c r="L293" s="12" t="s">
        <v>1222</v>
      </c>
      <c r="M293" s="12" t="s">
        <v>550</v>
      </c>
      <c r="N293" s="12" t="s">
        <v>1213</v>
      </c>
    </row>
    <row r="294" customFormat="false" ht="23.85" hidden="false" customHeight="false" outlineLevel="0" collapsed="false">
      <c r="A294" s="12" t="s">
        <v>1422</v>
      </c>
      <c r="B294" s="12" t="s">
        <v>1444</v>
      </c>
      <c r="C294" s="13"/>
      <c r="D294" s="13" t="s">
        <v>1186</v>
      </c>
      <c r="E294" s="13"/>
      <c r="F294" s="12" t="s">
        <v>1008</v>
      </c>
      <c r="G294" s="12" t="s">
        <v>930</v>
      </c>
      <c r="H294" s="12" t="s">
        <v>1009</v>
      </c>
      <c r="I294" s="12" t="s">
        <v>457</v>
      </c>
      <c r="J294" s="13" t="s">
        <v>106</v>
      </c>
      <c r="K294" s="12" t="s">
        <v>21</v>
      </c>
      <c r="L294" s="12" t="s">
        <v>1222</v>
      </c>
      <c r="M294" s="12" t="s">
        <v>550</v>
      </c>
      <c r="N294" s="12" t="s">
        <v>1245</v>
      </c>
    </row>
    <row r="295" customFormat="false" ht="23.85" hidden="false" customHeight="false" outlineLevel="0" collapsed="false">
      <c r="A295" s="12" t="s">
        <v>1422</v>
      </c>
      <c r="B295" s="12" t="s">
        <v>1445</v>
      </c>
      <c r="C295" s="13"/>
      <c r="D295" s="13"/>
      <c r="E295" s="13" t="s">
        <v>1186</v>
      </c>
      <c r="F295" s="12" t="s">
        <v>1127</v>
      </c>
      <c r="G295" s="12" t="s">
        <v>1118</v>
      </c>
      <c r="H295" s="12" t="s">
        <v>1128</v>
      </c>
      <c r="I295" s="12" t="s">
        <v>457</v>
      </c>
      <c r="J295" s="13" t="s">
        <v>106</v>
      </c>
      <c r="K295" s="12" t="s">
        <v>20</v>
      </c>
      <c r="L295" s="12" t="s">
        <v>1212</v>
      </c>
      <c r="M295" s="12" t="s">
        <v>550</v>
      </c>
      <c r="N295" s="12" t="s">
        <v>1257</v>
      </c>
    </row>
    <row r="296" customFormat="false" ht="46.25" hidden="false" customHeight="false" outlineLevel="0" collapsed="false">
      <c r="A296" s="12" t="s">
        <v>1422</v>
      </c>
      <c r="B296" s="12" t="s">
        <v>1446</v>
      </c>
      <c r="C296" s="13"/>
      <c r="D296" s="13" t="s">
        <v>1186</v>
      </c>
      <c r="E296" s="13"/>
      <c r="F296" s="12" t="s">
        <v>1171</v>
      </c>
      <c r="G296" s="12" t="s">
        <v>1158</v>
      </c>
      <c r="H296" s="12" t="s">
        <v>1172</v>
      </c>
      <c r="I296" s="12" t="s">
        <v>244</v>
      </c>
      <c r="J296" s="13" t="s">
        <v>244</v>
      </c>
      <c r="K296" s="12" t="s">
        <v>24</v>
      </c>
      <c r="L296" s="12" t="s">
        <v>1233</v>
      </c>
      <c r="M296" s="12" t="s">
        <v>550</v>
      </c>
      <c r="N296" s="12" t="s">
        <v>321</v>
      </c>
    </row>
    <row r="297" customFormat="false" ht="35.05" hidden="false" customHeight="false" outlineLevel="0" collapsed="false">
      <c r="A297" s="12" t="s">
        <v>1422</v>
      </c>
      <c r="B297" s="12" t="s">
        <v>1447</v>
      </c>
      <c r="C297" s="13"/>
      <c r="D297" s="13"/>
      <c r="E297" s="13" t="s">
        <v>1186</v>
      </c>
      <c r="F297" s="12" t="s">
        <v>1051</v>
      </c>
      <c r="G297" s="12" t="s">
        <v>1024</v>
      </c>
      <c r="H297" s="12" t="s">
        <v>1052</v>
      </c>
      <c r="I297" s="12" t="s">
        <v>189</v>
      </c>
      <c r="J297" s="13" t="s">
        <v>307</v>
      </c>
      <c r="K297" s="12" t="s">
        <v>20</v>
      </c>
      <c r="L297" s="12" t="s">
        <v>1212</v>
      </c>
      <c r="M297" s="12" t="s">
        <v>550</v>
      </c>
      <c r="N297" s="12" t="s">
        <v>1197</v>
      </c>
    </row>
    <row r="298" customFormat="false" ht="23.85" hidden="false" customHeight="false" outlineLevel="0" collapsed="false">
      <c r="A298" s="12" t="s">
        <v>1422</v>
      </c>
      <c r="B298" s="12" t="s">
        <v>1404</v>
      </c>
      <c r="C298" s="13" t="s">
        <v>1186</v>
      </c>
      <c r="D298" s="13"/>
      <c r="E298" s="13"/>
      <c r="F298" s="12" t="s">
        <v>383</v>
      </c>
      <c r="G298" s="12" t="s">
        <v>344</v>
      </c>
      <c r="H298" s="12" t="s">
        <v>365</v>
      </c>
      <c r="I298" s="12" t="s">
        <v>189</v>
      </c>
      <c r="J298" s="13" t="s">
        <v>106</v>
      </c>
      <c r="K298" s="12" t="s">
        <v>16</v>
      </c>
      <c r="L298" s="12" t="s">
        <v>1198</v>
      </c>
      <c r="M298" s="12" t="s">
        <v>550</v>
      </c>
      <c r="N298" s="12" t="s">
        <v>1213</v>
      </c>
    </row>
    <row r="299" customFormat="false" ht="23.85" hidden="false" customHeight="false" outlineLevel="0" collapsed="false">
      <c r="A299" s="12" t="s">
        <v>1422</v>
      </c>
      <c r="B299" s="12" t="s">
        <v>1448</v>
      </c>
      <c r="C299" s="13"/>
      <c r="D299" s="13"/>
      <c r="E299" s="13" t="s">
        <v>1186</v>
      </c>
      <c r="F299" s="12" t="s">
        <v>421</v>
      </c>
      <c r="G299" s="12" t="s">
        <v>344</v>
      </c>
      <c r="H299" s="12" t="s">
        <v>422</v>
      </c>
      <c r="I299" s="12" t="s">
        <v>244</v>
      </c>
      <c r="J299" s="13" t="s">
        <v>244</v>
      </c>
      <c r="K299" s="12" t="s">
        <v>24</v>
      </c>
      <c r="L299" s="12" t="s">
        <v>1233</v>
      </c>
      <c r="M299" s="12" t="s">
        <v>550</v>
      </c>
      <c r="N299" s="12" t="s">
        <v>1257</v>
      </c>
    </row>
    <row r="300" customFormat="false" ht="23.85" hidden="false" customHeight="false" outlineLevel="0" collapsed="false">
      <c r="A300" s="12" t="s">
        <v>1422</v>
      </c>
      <c r="B300" s="12" t="s">
        <v>1449</v>
      </c>
      <c r="C300" s="13"/>
      <c r="D300" s="13"/>
      <c r="E300" s="13" t="s">
        <v>1186</v>
      </c>
      <c r="F300" s="12" t="s">
        <v>413</v>
      </c>
      <c r="G300" s="12" t="s">
        <v>344</v>
      </c>
      <c r="H300" s="12" t="s">
        <v>414</v>
      </c>
      <c r="I300" s="12" t="s">
        <v>164</v>
      </c>
      <c r="J300" s="13" t="s">
        <v>106</v>
      </c>
      <c r="K300" s="12" t="s">
        <v>16</v>
      </c>
      <c r="L300" s="12" t="s">
        <v>1198</v>
      </c>
      <c r="M300" s="12" t="s">
        <v>550</v>
      </c>
      <c r="N300" s="12" t="s">
        <v>1234</v>
      </c>
    </row>
    <row r="301" customFormat="false" ht="23.85" hidden="false" customHeight="false" outlineLevel="0" collapsed="false">
      <c r="A301" s="12" t="s">
        <v>1422</v>
      </c>
      <c r="B301" s="12" t="s">
        <v>1450</v>
      </c>
      <c r="C301" s="13" t="s">
        <v>1186</v>
      </c>
      <c r="D301" s="13"/>
      <c r="E301" s="13"/>
      <c r="F301" s="12" t="s">
        <v>419</v>
      </c>
      <c r="G301" s="12" t="s">
        <v>344</v>
      </c>
      <c r="H301" s="12" t="s">
        <v>401</v>
      </c>
      <c r="I301" s="12" t="s">
        <v>164</v>
      </c>
      <c r="J301" s="13" t="s">
        <v>106</v>
      </c>
      <c r="K301" s="12" t="s">
        <v>20</v>
      </c>
      <c r="L301" s="12" t="s">
        <v>1212</v>
      </c>
      <c r="M301" s="12" t="s">
        <v>550</v>
      </c>
      <c r="N301" s="12" t="s">
        <v>1217</v>
      </c>
    </row>
    <row r="302" customFormat="false" ht="35.05" hidden="false" customHeight="false" outlineLevel="0" collapsed="false">
      <c r="A302" s="12" t="s">
        <v>1422</v>
      </c>
      <c r="B302" s="12" t="s">
        <v>1365</v>
      </c>
      <c r="C302" s="13" t="s">
        <v>1186</v>
      </c>
      <c r="D302" s="13"/>
      <c r="E302" s="13"/>
      <c r="F302" s="12" t="s">
        <v>183</v>
      </c>
      <c r="G302" s="12" t="s">
        <v>93</v>
      </c>
      <c r="H302" s="12" t="s">
        <v>185</v>
      </c>
      <c r="I302" s="12" t="s">
        <v>189</v>
      </c>
      <c r="J302" s="13" t="s">
        <v>106</v>
      </c>
      <c r="K302" s="17" t="s">
        <v>14</v>
      </c>
      <c r="L302" s="12" t="s">
        <v>1187</v>
      </c>
      <c r="M302" s="12" t="s">
        <v>1193</v>
      </c>
      <c r="N302" s="12" t="s">
        <v>1219</v>
      </c>
    </row>
    <row r="303" customFormat="false" ht="23.85" hidden="false" customHeight="false" outlineLevel="0" collapsed="false">
      <c r="A303" s="12" t="s">
        <v>1422</v>
      </c>
      <c r="B303" s="12" t="s">
        <v>1297</v>
      </c>
      <c r="C303" s="13"/>
      <c r="D303" s="13" t="s">
        <v>1186</v>
      </c>
      <c r="E303" s="13"/>
      <c r="F303" s="12" t="s">
        <v>954</v>
      </c>
      <c r="G303" s="12" t="s">
        <v>930</v>
      </c>
      <c r="H303" s="12" t="s">
        <v>955</v>
      </c>
      <c r="I303" s="12" t="s">
        <v>164</v>
      </c>
      <c r="J303" s="13" t="s">
        <v>106</v>
      </c>
      <c r="K303" s="12" t="s">
        <v>21</v>
      </c>
      <c r="L303" s="12" t="s">
        <v>1222</v>
      </c>
      <c r="M303" s="12" t="s">
        <v>550</v>
      </c>
      <c r="N303" s="12" t="s">
        <v>1294</v>
      </c>
    </row>
    <row r="304" customFormat="false" ht="35.05" hidden="false" customHeight="false" outlineLevel="0" collapsed="false">
      <c r="A304" s="12" t="s">
        <v>1451</v>
      </c>
      <c r="B304" s="12" t="s">
        <v>112</v>
      </c>
      <c r="C304" s="13" t="s">
        <v>1186</v>
      </c>
      <c r="D304" s="13"/>
      <c r="E304" s="13"/>
      <c r="F304" s="12" t="s">
        <v>112</v>
      </c>
      <c r="G304" s="12" t="s">
        <v>93</v>
      </c>
      <c r="H304" s="12" t="s">
        <v>113</v>
      </c>
      <c r="I304" s="12" t="s">
        <v>118</v>
      </c>
      <c r="J304" s="13" t="s">
        <v>106</v>
      </c>
      <c r="K304" s="17" t="s">
        <v>14</v>
      </c>
      <c r="L304" s="12" t="s">
        <v>1187</v>
      </c>
      <c r="M304" s="12" t="s">
        <v>1452</v>
      </c>
      <c r="N304" s="12" t="s">
        <v>1194</v>
      </c>
    </row>
    <row r="305" customFormat="false" ht="46.25" hidden="false" customHeight="false" outlineLevel="0" collapsed="false">
      <c r="A305" s="12" t="s">
        <v>1451</v>
      </c>
      <c r="B305" s="12" t="s">
        <v>135</v>
      </c>
      <c r="C305" s="13" t="s">
        <v>1186</v>
      </c>
      <c r="D305" s="13"/>
      <c r="E305" s="13"/>
      <c r="F305" s="12" t="s">
        <v>135</v>
      </c>
      <c r="G305" s="12" t="s">
        <v>93</v>
      </c>
      <c r="H305" s="12" t="s">
        <v>137</v>
      </c>
      <c r="I305" s="12" t="s">
        <v>104</v>
      </c>
      <c r="J305" s="13" t="s">
        <v>106</v>
      </c>
      <c r="K305" s="17" t="s">
        <v>14</v>
      </c>
      <c r="L305" s="12" t="s">
        <v>1187</v>
      </c>
      <c r="M305" s="12" t="s">
        <v>1453</v>
      </c>
      <c r="N305" s="12" t="s">
        <v>1229</v>
      </c>
    </row>
    <row r="306" customFormat="false" ht="23.85" hidden="false" customHeight="false" outlineLevel="0" collapsed="false">
      <c r="A306" s="12" t="s">
        <v>1451</v>
      </c>
      <c r="B306" s="12" t="s">
        <v>146</v>
      </c>
      <c r="C306" s="13"/>
      <c r="D306" s="13" t="s">
        <v>1186</v>
      </c>
      <c r="E306" s="13"/>
      <c r="F306" s="12" t="s">
        <v>146</v>
      </c>
      <c r="G306" s="12" t="s">
        <v>93</v>
      </c>
      <c r="H306" s="12" t="s">
        <v>148</v>
      </c>
      <c r="I306" s="12" t="s">
        <v>153</v>
      </c>
      <c r="J306" s="13" t="s">
        <v>106</v>
      </c>
      <c r="K306" s="17" t="s">
        <v>14</v>
      </c>
      <c r="L306" s="12" t="s">
        <v>1187</v>
      </c>
      <c r="M306" s="12" t="s">
        <v>1305</v>
      </c>
      <c r="N306" s="12" t="s">
        <v>1197</v>
      </c>
    </row>
    <row r="307" customFormat="false" ht="23.85" hidden="false" customHeight="false" outlineLevel="0" collapsed="false">
      <c r="A307" s="12" t="s">
        <v>1451</v>
      </c>
      <c r="B307" s="12" t="s">
        <v>146</v>
      </c>
      <c r="C307" s="13"/>
      <c r="D307" s="13"/>
      <c r="E307" s="13" t="s">
        <v>1186</v>
      </c>
      <c r="F307" s="12" t="s">
        <v>146</v>
      </c>
      <c r="G307" s="12" t="s">
        <v>93</v>
      </c>
      <c r="H307" s="12" t="s">
        <v>148</v>
      </c>
      <c r="I307" s="12" t="s">
        <v>153</v>
      </c>
      <c r="J307" s="13" t="s">
        <v>106</v>
      </c>
      <c r="K307" s="17" t="s">
        <v>14</v>
      </c>
      <c r="L307" s="12" t="s">
        <v>1187</v>
      </c>
      <c r="M307" s="12" t="s">
        <v>1305</v>
      </c>
      <c r="N307" s="12" t="s">
        <v>1197</v>
      </c>
    </row>
    <row r="308" customFormat="false" ht="23.85" hidden="false" customHeight="false" outlineLevel="0" collapsed="false">
      <c r="A308" s="12" t="s">
        <v>1451</v>
      </c>
      <c r="B308" s="12" t="s">
        <v>1200</v>
      </c>
      <c r="C308" s="13" t="s">
        <v>1186</v>
      </c>
      <c r="D308" s="13"/>
      <c r="E308" s="13"/>
      <c r="F308" s="12" t="s">
        <v>146</v>
      </c>
      <c r="G308" s="12" t="s">
        <v>93</v>
      </c>
      <c r="H308" s="12" t="s">
        <v>148</v>
      </c>
      <c r="I308" s="12" t="s">
        <v>153</v>
      </c>
      <c r="J308" s="13" t="s">
        <v>106</v>
      </c>
      <c r="K308" s="17" t="s">
        <v>14</v>
      </c>
      <c r="L308" s="12" t="s">
        <v>1187</v>
      </c>
      <c r="M308" s="12" t="s">
        <v>1305</v>
      </c>
      <c r="N308" s="12" t="s">
        <v>1197</v>
      </c>
    </row>
    <row r="309" customFormat="false" ht="23.85" hidden="false" customHeight="false" outlineLevel="0" collapsed="false">
      <c r="A309" s="12" t="s">
        <v>1451</v>
      </c>
      <c r="B309" s="12" t="s">
        <v>1454</v>
      </c>
      <c r="C309" s="13"/>
      <c r="D309" s="13" t="s">
        <v>1186</v>
      </c>
      <c r="E309" s="13"/>
      <c r="F309" s="12" t="s">
        <v>480</v>
      </c>
      <c r="G309" s="12" t="s">
        <v>463</v>
      </c>
      <c r="H309" s="12" t="s">
        <v>481</v>
      </c>
      <c r="I309" s="12" t="s">
        <v>484</v>
      </c>
      <c r="J309" s="13" t="s">
        <v>106</v>
      </c>
      <c r="K309" s="17" t="s">
        <v>14</v>
      </c>
      <c r="L309" s="12" t="s">
        <v>1187</v>
      </c>
      <c r="M309" s="12" t="s">
        <v>1326</v>
      </c>
      <c r="N309" s="12" t="s">
        <v>1189</v>
      </c>
    </row>
    <row r="310" customFormat="false" ht="23.85" hidden="false" customHeight="false" outlineLevel="0" collapsed="false">
      <c r="A310" s="12" t="s">
        <v>1451</v>
      </c>
      <c r="B310" s="12" t="s">
        <v>1455</v>
      </c>
      <c r="C310" s="13" t="s">
        <v>1186</v>
      </c>
      <c r="D310" s="13"/>
      <c r="E310" s="13"/>
      <c r="F310" s="12" t="s">
        <v>1155</v>
      </c>
      <c r="G310" s="12" t="s">
        <v>1138</v>
      </c>
      <c r="H310" s="12" t="s">
        <v>573</v>
      </c>
      <c r="I310" s="12" t="s">
        <v>244</v>
      </c>
      <c r="J310" s="13" t="s">
        <v>244</v>
      </c>
      <c r="K310" s="12" t="s">
        <v>22</v>
      </c>
      <c r="L310" s="12" t="s">
        <v>1456</v>
      </c>
      <c r="M310" s="12" t="s">
        <v>550</v>
      </c>
      <c r="N310" s="12" t="s">
        <v>321</v>
      </c>
    </row>
    <row r="311" customFormat="false" ht="23.85" hidden="false" customHeight="false" outlineLevel="0" collapsed="false">
      <c r="A311" s="12" t="s">
        <v>1451</v>
      </c>
      <c r="B311" s="12" t="s">
        <v>1278</v>
      </c>
      <c r="C311" s="13" t="s">
        <v>1186</v>
      </c>
      <c r="D311" s="13"/>
      <c r="E311" s="13"/>
      <c r="F311" s="12" t="s">
        <v>977</v>
      </c>
      <c r="G311" s="12" t="s">
        <v>930</v>
      </c>
      <c r="H311" s="12" t="s">
        <v>978</v>
      </c>
      <c r="I311" s="12" t="s">
        <v>980</v>
      </c>
      <c r="J311" s="13" t="s">
        <v>106</v>
      </c>
      <c r="K311" s="12" t="s">
        <v>21</v>
      </c>
      <c r="L311" s="12" t="s">
        <v>1222</v>
      </c>
      <c r="M311" s="12" t="s">
        <v>550</v>
      </c>
      <c r="N311" s="12" t="s">
        <v>1213</v>
      </c>
    </row>
    <row r="312" customFormat="false" ht="23.85" hidden="false" customHeight="false" outlineLevel="0" collapsed="false">
      <c r="A312" s="12" t="s">
        <v>1451</v>
      </c>
      <c r="B312" s="12" t="s">
        <v>1395</v>
      </c>
      <c r="C312" s="13" t="s">
        <v>1186</v>
      </c>
      <c r="D312" s="13"/>
      <c r="E312" s="13"/>
      <c r="F312" s="12" t="s">
        <v>898</v>
      </c>
      <c r="G312" s="12" t="s">
        <v>897</v>
      </c>
      <c r="H312" s="12" t="s">
        <v>899</v>
      </c>
      <c r="I312" s="12" t="s">
        <v>631</v>
      </c>
      <c r="J312" s="13" t="s">
        <v>106</v>
      </c>
      <c r="K312" s="12" t="s">
        <v>16</v>
      </c>
      <c r="L312" s="12" t="s">
        <v>1198</v>
      </c>
      <c r="M312" s="12" t="s">
        <v>550</v>
      </c>
      <c r="N312" s="12" t="s">
        <v>1223</v>
      </c>
    </row>
    <row r="313" customFormat="false" ht="23.85" hidden="false" customHeight="false" outlineLevel="0" collapsed="false">
      <c r="A313" s="12" t="s">
        <v>1451</v>
      </c>
      <c r="B313" s="12" t="s">
        <v>1457</v>
      </c>
      <c r="C313" s="13" t="s">
        <v>1186</v>
      </c>
      <c r="D313" s="13"/>
      <c r="E313" s="13"/>
      <c r="F313" s="12" t="s">
        <v>1159</v>
      </c>
      <c r="G313" s="12" t="s">
        <v>1158</v>
      </c>
      <c r="H313" s="12" t="s">
        <v>1160</v>
      </c>
      <c r="I313" s="12" t="s">
        <v>244</v>
      </c>
      <c r="J313" s="13" t="s">
        <v>244</v>
      </c>
      <c r="K313" s="12" t="s">
        <v>23</v>
      </c>
      <c r="L313" s="12" t="s">
        <v>1458</v>
      </c>
      <c r="M313" s="12" t="s">
        <v>550</v>
      </c>
      <c r="N313" s="12" t="s">
        <v>1217</v>
      </c>
    </row>
    <row r="314" customFormat="false" ht="23.85" hidden="false" customHeight="false" outlineLevel="0" collapsed="false">
      <c r="A314" s="12" t="s">
        <v>1451</v>
      </c>
      <c r="B314" s="12" t="s">
        <v>1459</v>
      </c>
      <c r="C314" s="13"/>
      <c r="D314" s="13"/>
      <c r="E314" s="13" t="s">
        <v>1186</v>
      </c>
      <c r="F314" s="12" t="s">
        <v>1155</v>
      </c>
      <c r="G314" s="12" t="s">
        <v>1138</v>
      </c>
      <c r="H314" s="12" t="s">
        <v>573</v>
      </c>
      <c r="I314" s="12" t="s">
        <v>244</v>
      </c>
      <c r="J314" s="13" t="s">
        <v>244</v>
      </c>
      <c r="K314" s="12" t="s">
        <v>22</v>
      </c>
      <c r="L314" s="12" t="s">
        <v>1456</v>
      </c>
      <c r="M314" s="12" t="s">
        <v>550</v>
      </c>
      <c r="N314" s="12" t="s">
        <v>321</v>
      </c>
    </row>
    <row r="315" customFormat="false" ht="46.25" hidden="false" customHeight="false" outlineLevel="0" collapsed="false">
      <c r="A315" s="12" t="s">
        <v>1451</v>
      </c>
      <c r="B315" s="12" t="s">
        <v>1460</v>
      </c>
      <c r="C315" s="13"/>
      <c r="D315" s="13" t="s">
        <v>1186</v>
      </c>
      <c r="E315" s="13"/>
      <c r="F315" s="12" t="s">
        <v>171</v>
      </c>
      <c r="G315" s="12" t="s">
        <v>93</v>
      </c>
      <c r="H315" s="12" t="s">
        <v>173</v>
      </c>
      <c r="I315" s="12" t="s">
        <v>177</v>
      </c>
      <c r="J315" s="13" t="s">
        <v>106</v>
      </c>
      <c r="K315" s="12" t="s">
        <v>16</v>
      </c>
      <c r="L315" s="12" t="s">
        <v>1191</v>
      </c>
      <c r="M315" s="12" t="s">
        <v>1352</v>
      </c>
      <c r="N315" s="12" t="s">
        <v>1209</v>
      </c>
    </row>
    <row r="316" customFormat="false" ht="46.25" hidden="false" customHeight="false" outlineLevel="0" collapsed="false">
      <c r="A316" s="12" t="s">
        <v>1461</v>
      </c>
      <c r="B316" s="12" t="s">
        <v>135</v>
      </c>
      <c r="C316" s="13"/>
      <c r="D316" s="13"/>
      <c r="E316" s="13" t="s">
        <v>1186</v>
      </c>
      <c r="F316" s="12" t="s">
        <v>135</v>
      </c>
      <c r="G316" s="12" t="s">
        <v>93</v>
      </c>
      <c r="H316" s="12" t="s">
        <v>137</v>
      </c>
      <c r="I316" s="12" t="s">
        <v>104</v>
      </c>
      <c r="J316" s="13" t="s">
        <v>106</v>
      </c>
      <c r="K316" s="17" t="s">
        <v>14</v>
      </c>
      <c r="L316" s="12" t="s">
        <v>1187</v>
      </c>
      <c r="M316" s="12" t="s">
        <v>1462</v>
      </c>
      <c r="N316" s="12" t="s">
        <v>1229</v>
      </c>
    </row>
    <row r="317" customFormat="false" ht="23.85" hidden="false" customHeight="false" outlineLevel="0" collapsed="false">
      <c r="A317" s="12" t="s">
        <v>1461</v>
      </c>
      <c r="B317" s="12" t="s">
        <v>1426</v>
      </c>
      <c r="C317" s="13"/>
      <c r="D317" s="13"/>
      <c r="E317" s="13" t="s">
        <v>1186</v>
      </c>
      <c r="F317" s="12" t="s">
        <v>201</v>
      </c>
      <c r="G317" s="12" t="s">
        <v>93</v>
      </c>
      <c r="H317" s="12" t="s">
        <v>202</v>
      </c>
      <c r="I317" s="12" t="s">
        <v>104</v>
      </c>
      <c r="J317" s="13" t="s">
        <v>106</v>
      </c>
      <c r="K317" s="17" t="s">
        <v>14</v>
      </c>
      <c r="L317" s="12" t="s">
        <v>1187</v>
      </c>
      <c r="M317" s="12" t="s">
        <v>1208</v>
      </c>
      <c r="N317" s="12" t="s">
        <v>1231</v>
      </c>
    </row>
    <row r="318" customFormat="false" ht="23.85" hidden="false" customHeight="false" outlineLevel="0" collapsed="false">
      <c r="A318" s="12" t="s">
        <v>1461</v>
      </c>
      <c r="B318" s="12" t="s">
        <v>146</v>
      </c>
      <c r="C318" s="13"/>
      <c r="D318" s="13" t="s">
        <v>1186</v>
      </c>
      <c r="E318" s="13"/>
      <c r="F318" s="12" t="s">
        <v>146</v>
      </c>
      <c r="G318" s="12" t="s">
        <v>93</v>
      </c>
      <c r="H318" s="12" t="s">
        <v>148</v>
      </c>
      <c r="I318" s="12" t="s">
        <v>153</v>
      </c>
      <c r="J318" s="13" t="s">
        <v>106</v>
      </c>
      <c r="K318" s="12" t="s">
        <v>16</v>
      </c>
      <c r="L318" s="12" t="s">
        <v>1198</v>
      </c>
      <c r="M318" s="12" t="s">
        <v>550</v>
      </c>
      <c r="N318" s="12" t="s">
        <v>1197</v>
      </c>
    </row>
    <row r="319" customFormat="false" ht="23.85" hidden="false" customHeight="false" outlineLevel="0" collapsed="false">
      <c r="A319" s="12" t="s">
        <v>1461</v>
      </c>
      <c r="B319" s="12" t="s">
        <v>146</v>
      </c>
      <c r="C319" s="13"/>
      <c r="D319" s="13"/>
      <c r="E319" s="13" t="s">
        <v>1186</v>
      </c>
      <c r="F319" s="12" t="s">
        <v>146</v>
      </c>
      <c r="G319" s="12" t="s">
        <v>93</v>
      </c>
      <c r="H319" s="12" t="s">
        <v>148</v>
      </c>
      <c r="I319" s="12" t="s">
        <v>153</v>
      </c>
      <c r="J319" s="13" t="s">
        <v>106</v>
      </c>
      <c r="K319" s="12" t="s">
        <v>16</v>
      </c>
      <c r="L319" s="12" t="s">
        <v>1198</v>
      </c>
      <c r="M319" s="12" t="s">
        <v>550</v>
      </c>
      <c r="N319" s="12" t="s">
        <v>1197</v>
      </c>
    </row>
    <row r="320" customFormat="false" ht="23.85" hidden="false" customHeight="false" outlineLevel="0" collapsed="false">
      <c r="A320" s="12" t="s">
        <v>1461</v>
      </c>
      <c r="B320" s="12" t="s">
        <v>1200</v>
      </c>
      <c r="C320" s="13" t="s">
        <v>1186</v>
      </c>
      <c r="D320" s="13"/>
      <c r="E320" s="13"/>
      <c r="F320" s="12" t="s">
        <v>146</v>
      </c>
      <c r="G320" s="12" t="s">
        <v>93</v>
      </c>
      <c r="H320" s="12" t="s">
        <v>148</v>
      </c>
      <c r="I320" s="12" t="s">
        <v>153</v>
      </c>
      <c r="J320" s="13" t="s">
        <v>106</v>
      </c>
      <c r="K320" s="12" t="s">
        <v>16</v>
      </c>
      <c r="L320" s="12" t="s">
        <v>1198</v>
      </c>
      <c r="M320" s="12" t="s">
        <v>550</v>
      </c>
      <c r="N320" s="12" t="s">
        <v>1197</v>
      </c>
    </row>
    <row r="321" customFormat="false" ht="35.05" hidden="false" customHeight="false" outlineLevel="0" collapsed="false">
      <c r="A321" s="12" t="s">
        <v>1461</v>
      </c>
      <c r="B321" s="12" t="s">
        <v>1236</v>
      </c>
      <c r="C321" s="13"/>
      <c r="D321" s="13" t="s">
        <v>1186</v>
      </c>
      <c r="E321" s="13"/>
      <c r="F321" s="12" t="s">
        <v>124</v>
      </c>
      <c r="G321" s="12" t="s">
        <v>93</v>
      </c>
      <c r="H321" s="12" t="s">
        <v>126</v>
      </c>
      <c r="I321" s="12" t="s">
        <v>104</v>
      </c>
      <c r="J321" s="13" t="s">
        <v>106</v>
      </c>
      <c r="K321" s="17" t="s">
        <v>14</v>
      </c>
      <c r="L321" s="12" t="s">
        <v>1187</v>
      </c>
      <c r="M321" s="12" t="s">
        <v>1237</v>
      </c>
      <c r="N321" s="12" t="s">
        <v>1189</v>
      </c>
    </row>
    <row r="322" customFormat="false" ht="35.05" hidden="false" customHeight="false" outlineLevel="0" collapsed="false">
      <c r="A322" s="12" t="s">
        <v>1461</v>
      </c>
      <c r="B322" s="12" t="s">
        <v>1190</v>
      </c>
      <c r="C322" s="13" t="s">
        <v>1186</v>
      </c>
      <c r="D322" s="13"/>
      <c r="E322" s="13"/>
      <c r="F322" s="12" t="s">
        <v>94</v>
      </c>
      <c r="G322" s="12" t="s">
        <v>93</v>
      </c>
      <c r="H322" s="12" t="s">
        <v>97</v>
      </c>
      <c r="I322" s="12" t="s">
        <v>104</v>
      </c>
      <c r="J322" s="13" t="s">
        <v>106</v>
      </c>
      <c r="K322" s="17" t="s">
        <v>14</v>
      </c>
      <c r="L322" s="12" t="s">
        <v>1187</v>
      </c>
      <c r="M322" s="12" t="s">
        <v>1463</v>
      </c>
      <c r="N322" s="12" t="s">
        <v>1189</v>
      </c>
    </row>
    <row r="323" customFormat="false" ht="23.85" hidden="false" customHeight="false" outlineLevel="0" collapsed="false">
      <c r="A323" s="12" t="s">
        <v>1461</v>
      </c>
      <c r="B323" s="12" t="s">
        <v>1464</v>
      </c>
      <c r="C323" s="13"/>
      <c r="D323" s="13" t="s">
        <v>1186</v>
      </c>
      <c r="E323" s="13"/>
      <c r="F323" s="12" t="s">
        <v>1163</v>
      </c>
      <c r="G323" s="12" t="s">
        <v>1158</v>
      </c>
      <c r="H323" s="12" t="s">
        <v>1164</v>
      </c>
      <c r="I323" s="12" t="s">
        <v>244</v>
      </c>
      <c r="J323" s="13" t="s">
        <v>244</v>
      </c>
      <c r="K323" s="12" t="s">
        <v>23</v>
      </c>
      <c r="L323" s="12" t="s">
        <v>1465</v>
      </c>
      <c r="M323" s="12" t="s">
        <v>550</v>
      </c>
      <c r="N323" s="12" t="s">
        <v>1245</v>
      </c>
    </row>
    <row r="324" customFormat="false" ht="23.85" hidden="false" customHeight="false" outlineLevel="0" collapsed="false">
      <c r="A324" s="12" t="s">
        <v>1461</v>
      </c>
      <c r="B324" s="12" t="s">
        <v>1466</v>
      </c>
      <c r="C324" s="13" t="s">
        <v>1186</v>
      </c>
      <c r="D324" s="13"/>
      <c r="E324" s="13"/>
      <c r="F324" s="12" t="s">
        <v>1159</v>
      </c>
      <c r="G324" s="12" t="s">
        <v>1158</v>
      </c>
      <c r="H324" s="12" t="s">
        <v>1160</v>
      </c>
      <c r="I324" s="12" t="s">
        <v>244</v>
      </c>
      <c r="J324" s="13" t="s">
        <v>244</v>
      </c>
      <c r="K324" s="12" t="s">
        <v>23</v>
      </c>
      <c r="L324" s="12" t="s">
        <v>1458</v>
      </c>
      <c r="M324" s="12" t="s">
        <v>550</v>
      </c>
      <c r="N324" s="12" t="s">
        <v>1217</v>
      </c>
    </row>
    <row r="325" customFormat="false" ht="23.85" hidden="false" customHeight="false" outlineLevel="0" collapsed="false">
      <c r="A325" s="12" t="s">
        <v>1467</v>
      </c>
      <c r="B325" s="12" t="s">
        <v>1468</v>
      </c>
      <c r="C325" s="13" t="s">
        <v>1186</v>
      </c>
      <c r="D325" s="13"/>
      <c r="E325" s="13" t="s">
        <v>1186</v>
      </c>
      <c r="F325" s="12" t="s">
        <v>1145</v>
      </c>
      <c r="G325" s="12" t="s">
        <v>1138</v>
      </c>
      <c r="H325" s="12" t="s">
        <v>1146</v>
      </c>
      <c r="I325" s="12" t="s">
        <v>244</v>
      </c>
      <c r="J325" s="13" t="s">
        <v>244</v>
      </c>
      <c r="K325" s="12" t="s">
        <v>22</v>
      </c>
      <c r="L325" s="12" t="s">
        <v>1469</v>
      </c>
      <c r="M325" s="12" t="s">
        <v>550</v>
      </c>
      <c r="N325" s="12" t="s">
        <v>1223</v>
      </c>
    </row>
    <row r="326" customFormat="false" ht="23.85" hidden="false" customHeight="false" outlineLevel="0" collapsed="false">
      <c r="A326" s="12" t="s">
        <v>1467</v>
      </c>
      <c r="B326" s="12" t="s">
        <v>942</v>
      </c>
      <c r="C326" s="13"/>
      <c r="D326" s="13" t="s">
        <v>1186</v>
      </c>
      <c r="E326" s="13"/>
      <c r="F326" s="12" t="s">
        <v>942</v>
      </c>
      <c r="G326" s="12" t="s">
        <v>930</v>
      </c>
      <c r="H326" s="12" t="s">
        <v>944</v>
      </c>
      <c r="I326" s="12" t="s">
        <v>164</v>
      </c>
      <c r="J326" s="13" t="s">
        <v>106</v>
      </c>
      <c r="K326" s="12" t="s">
        <v>21</v>
      </c>
      <c r="L326" s="12" t="s">
        <v>1222</v>
      </c>
      <c r="M326" s="12" t="s">
        <v>550</v>
      </c>
      <c r="N326" s="12" t="s">
        <v>1223</v>
      </c>
    </row>
    <row r="327" customFormat="false" ht="35.05" hidden="false" customHeight="false" outlineLevel="0" collapsed="false">
      <c r="A327" s="12" t="s">
        <v>1467</v>
      </c>
      <c r="B327" s="12" t="s">
        <v>1190</v>
      </c>
      <c r="C327" s="13" t="s">
        <v>1186</v>
      </c>
      <c r="D327" s="13"/>
      <c r="E327" s="13"/>
      <c r="F327" s="12" t="s">
        <v>94</v>
      </c>
      <c r="G327" s="12" t="s">
        <v>93</v>
      </c>
      <c r="H327" s="12" t="s">
        <v>97</v>
      </c>
      <c r="I327" s="12" t="s">
        <v>104</v>
      </c>
      <c r="J327" s="13" t="s">
        <v>106</v>
      </c>
      <c r="K327" s="17" t="s">
        <v>14</v>
      </c>
      <c r="L327" s="12" t="s">
        <v>1187</v>
      </c>
      <c r="M327" s="12" t="s">
        <v>1240</v>
      </c>
      <c r="N327" s="12" t="s">
        <v>1189</v>
      </c>
    </row>
    <row r="328" customFormat="false" ht="68.65" hidden="false" customHeight="false" outlineLevel="0" collapsed="false">
      <c r="A328" s="12" t="s">
        <v>1467</v>
      </c>
      <c r="B328" s="12" t="s">
        <v>1251</v>
      </c>
      <c r="C328" s="13" t="s">
        <v>1186</v>
      </c>
      <c r="D328" s="13"/>
      <c r="E328" s="13"/>
      <c r="F328" s="12" t="s">
        <v>1139</v>
      </c>
      <c r="G328" s="12" t="s">
        <v>1138</v>
      </c>
      <c r="H328" s="12" t="s">
        <v>1140</v>
      </c>
      <c r="I328" s="12" t="s">
        <v>244</v>
      </c>
      <c r="J328" s="13" t="s">
        <v>244</v>
      </c>
      <c r="K328" s="12" t="s">
        <v>22</v>
      </c>
      <c r="L328" s="12" t="s">
        <v>1196</v>
      </c>
      <c r="M328" s="12" t="s">
        <v>550</v>
      </c>
      <c r="N328" s="12" t="s">
        <v>1197</v>
      </c>
    </row>
    <row r="329" customFormat="false" ht="68.65" hidden="false" customHeight="false" outlineLevel="0" collapsed="false">
      <c r="A329" s="12" t="s">
        <v>1467</v>
      </c>
      <c r="B329" s="12" t="s">
        <v>1251</v>
      </c>
      <c r="C329" s="13" t="s">
        <v>1186</v>
      </c>
      <c r="D329" s="13" t="s">
        <v>1186</v>
      </c>
      <c r="E329" s="13" t="s">
        <v>1186</v>
      </c>
      <c r="F329" s="12" t="s">
        <v>1139</v>
      </c>
      <c r="G329" s="12" t="s">
        <v>1138</v>
      </c>
      <c r="H329" s="12" t="s">
        <v>1140</v>
      </c>
      <c r="I329" s="12" t="s">
        <v>244</v>
      </c>
      <c r="J329" s="13" t="s">
        <v>244</v>
      </c>
      <c r="K329" s="12" t="s">
        <v>22</v>
      </c>
      <c r="L329" s="12" t="s">
        <v>1196</v>
      </c>
      <c r="M329" s="12" t="s">
        <v>550</v>
      </c>
      <c r="N329" s="12" t="s">
        <v>1197</v>
      </c>
    </row>
    <row r="330" customFormat="false" ht="68.65" hidden="false" customHeight="false" outlineLevel="0" collapsed="false">
      <c r="A330" s="12" t="s">
        <v>1467</v>
      </c>
      <c r="B330" s="12" t="s">
        <v>1470</v>
      </c>
      <c r="C330" s="13" t="s">
        <v>1186</v>
      </c>
      <c r="D330" s="13" t="s">
        <v>1186</v>
      </c>
      <c r="E330" s="13" t="s">
        <v>1186</v>
      </c>
      <c r="F330" s="12" t="s">
        <v>1139</v>
      </c>
      <c r="G330" s="12" t="s">
        <v>1138</v>
      </c>
      <c r="H330" s="12" t="s">
        <v>1140</v>
      </c>
      <c r="I330" s="12" t="s">
        <v>244</v>
      </c>
      <c r="J330" s="13" t="s">
        <v>244</v>
      </c>
      <c r="K330" s="12" t="s">
        <v>22</v>
      </c>
      <c r="L330" s="12" t="s">
        <v>1196</v>
      </c>
      <c r="M330" s="12" t="s">
        <v>550</v>
      </c>
      <c r="N330" s="12" t="s">
        <v>1197</v>
      </c>
    </row>
    <row r="331" customFormat="false" ht="68.65" hidden="false" customHeight="false" outlineLevel="0" collapsed="false">
      <c r="A331" s="12" t="s">
        <v>1467</v>
      </c>
      <c r="B331" s="12" t="s">
        <v>1471</v>
      </c>
      <c r="C331" s="13" t="s">
        <v>1186</v>
      </c>
      <c r="D331" s="13" t="s">
        <v>1186</v>
      </c>
      <c r="E331" s="13" t="s">
        <v>1186</v>
      </c>
      <c r="F331" s="12" t="s">
        <v>1139</v>
      </c>
      <c r="G331" s="12" t="s">
        <v>1138</v>
      </c>
      <c r="H331" s="12" t="s">
        <v>1140</v>
      </c>
      <c r="I331" s="12" t="s">
        <v>244</v>
      </c>
      <c r="J331" s="13" t="s">
        <v>244</v>
      </c>
      <c r="K331" s="12" t="s">
        <v>22</v>
      </c>
      <c r="L331" s="12" t="s">
        <v>1196</v>
      </c>
      <c r="M331" s="12" t="s">
        <v>550</v>
      </c>
      <c r="N331" s="12" t="s">
        <v>1197</v>
      </c>
    </row>
    <row r="332" customFormat="false" ht="68.65" hidden="false" customHeight="false" outlineLevel="0" collapsed="false">
      <c r="A332" s="12" t="s">
        <v>1467</v>
      </c>
      <c r="B332" s="12" t="s">
        <v>1387</v>
      </c>
      <c r="C332" s="13" t="s">
        <v>1186</v>
      </c>
      <c r="D332" s="13" t="s">
        <v>1186</v>
      </c>
      <c r="E332" s="13" t="s">
        <v>1186</v>
      </c>
      <c r="F332" s="12" t="s">
        <v>1139</v>
      </c>
      <c r="G332" s="12" t="s">
        <v>1138</v>
      </c>
      <c r="H332" s="12" t="s">
        <v>1140</v>
      </c>
      <c r="I332" s="12" t="s">
        <v>244</v>
      </c>
      <c r="J332" s="13" t="s">
        <v>244</v>
      </c>
      <c r="K332" s="12" t="s">
        <v>22</v>
      </c>
      <c r="L332" s="12" t="s">
        <v>1196</v>
      </c>
      <c r="M332" s="12" t="s">
        <v>550</v>
      </c>
      <c r="N332" s="12" t="s">
        <v>1197</v>
      </c>
    </row>
    <row r="333" customFormat="false" ht="46.25" hidden="false" customHeight="false" outlineLevel="0" collapsed="false">
      <c r="A333" s="12" t="s">
        <v>1467</v>
      </c>
      <c r="B333" s="12" t="s">
        <v>1472</v>
      </c>
      <c r="C333" s="13"/>
      <c r="D333" s="13" t="s">
        <v>1186</v>
      </c>
      <c r="E333" s="13"/>
      <c r="F333" s="12" t="s">
        <v>1171</v>
      </c>
      <c r="G333" s="12" t="s">
        <v>1158</v>
      </c>
      <c r="H333" s="12" t="s">
        <v>1172</v>
      </c>
      <c r="I333" s="12" t="s">
        <v>244</v>
      </c>
      <c r="J333" s="13" t="s">
        <v>244</v>
      </c>
      <c r="K333" s="12" t="s">
        <v>24</v>
      </c>
      <c r="L333" s="12" t="s">
        <v>1233</v>
      </c>
      <c r="M333" s="12" t="s">
        <v>550</v>
      </c>
      <c r="N333" s="12" t="s">
        <v>321</v>
      </c>
    </row>
    <row r="334" customFormat="false" ht="23.85" hidden="false" customHeight="false" outlineLevel="0" collapsed="false">
      <c r="A334" s="12" t="s">
        <v>1467</v>
      </c>
      <c r="B334" s="12" t="s">
        <v>1473</v>
      </c>
      <c r="C334" s="13"/>
      <c r="D334" s="13"/>
      <c r="E334" s="13" t="s">
        <v>1186</v>
      </c>
      <c r="F334" s="12" t="s">
        <v>464</v>
      </c>
      <c r="G334" s="12" t="s">
        <v>463</v>
      </c>
      <c r="H334" s="12" t="s">
        <v>465</v>
      </c>
      <c r="I334" s="12" t="s">
        <v>469</v>
      </c>
      <c r="J334" s="13" t="s">
        <v>106</v>
      </c>
      <c r="K334" s="17" t="s">
        <v>14</v>
      </c>
      <c r="L334" s="12" t="s">
        <v>1187</v>
      </c>
      <c r="M334" s="12" t="s">
        <v>1305</v>
      </c>
      <c r="N334" s="12" t="s">
        <v>1290</v>
      </c>
    </row>
    <row r="335" customFormat="false" ht="23.85" hidden="false" customHeight="false" outlineLevel="0" collapsed="false">
      <c r="A335" s="12" t="s">
        <v>1467</v>
      </c>
      <c r="B335" s="12" t="s">
        <v>1474</v>
      </c>
      <c r="C335" s="13"/>
      <c r="D335" s="13"/>
      <c r="E335" s="13" t="s">
        <v>1186</v>
      </c>
      <c r="F335" s="12" t="s">
        <v>958</v>
      </c>
      <c r="G335" s="12" t="s">
        <v>930</v>
      </c>
      <c r="H335" s="12" t="s">
        <v>955</v>
      </c>
      <c r="I335" s="12" t="s">
        <v>189</v>
      </c>
      <c r="J335" s="13" t="s">
        <v>106</v>
      </c>
      <c r="K335" s="12" t="s">
        <v>21</v>
      </c>
      <c r="L335" s="12" t="s">
        <v>1222</v>
      </c>
      <c r="M335" s="12" t="s">
        <v>550</v>
      </c>
      <c r="N335" s="12" t="s">
        <v>1296</v>
      </c>
    </row>
    <row r="336" customFormat="false" ht="46.25" hidden="false" customHeight="false" outlineLevel="0" collapsed="false">
      <c r="A336" s="12" t="s">
        <v>1475</v>
      </c>
      <c r="B336" s="12" t="s">
        <v>135</v>
      </c>
      <c r="C336" s="13"/>
      <c r="D336" s="13"/>
      <c r="E336" s="13" t="s">
        <v>1186</v>
      </c>
      <c r="F336" s="12" t="s">
        <v>135</v>
      </c>
      <c r="G336" s="12" t="s">
        <v>93</v>
      </c>
      <c r="H336" s="12" t="s">
        <v>137</v>
      </c>
      <c r="I336" s="12" t="s">
        <v>104</v>
      </c>
      <c r="J336" s="13" t="s">
        <v>106</v>
      </c>
      <c r="K336" s="17" t="s">
        <v>14</v>
      </c>
      <c r="L336" s="12" t="s">
        <v>1187</v>
      </c>
      <c r="M336" s="12" t="s">
        <v>1228</v>
      </c>
      <c r="N336" s="12" t="s">
        <v>1229</v>
      </c>
    </row>
    <row r="337" customFormat="false" ht="35.05" hidden="false" customHeight="false" outlineLevel="0" collapsed="false">
      <c r="A337" s="12" t="s">
        <v>1475</v>
      </c>
      <c r="B337" s="12" t="s">
        <v>1236</v>
      </c>
      <c r="C337" s="13"/>
      <c r="D337" s="13" t="s">
        <v>1186</v>
      </c>
      <c r="E337" s="13"/>
      <c r="F337" s="12" t="s">
        <v>124</v>
      </c>
      <c r="G337" s="12" t="s">
        <v>93</v>
      </c>
      <c r="H337" s="12" t="s">
        <v>126</v>
      </c>
      <c r="I337" s="12" t="s">
        <v>104</v>
      </c>
      <c r="J337" s="13" t="s">
        <v>106</v>
      </c>
      <c r="K337" s="17" t="s">
        <v>14</v>
      </c>
      <c r="L337" s="12" t="s">
        <v>1187</v>
      </c>
      <c r="M337" s="12" t="s">
        <v>1314</v>
      </c>
      <c r="N337" s="12" t="s">
        <v>1189</v>
      </c>
    </row>
    <row r="338" customFormat="false" ht="35.05" hidden="false" customHeight="false" outlineLevel="0" collapsed="false">
      <c r="A338" s="12" t="s">
        <v>1475</v>
      </c>
      <c r="B338" s="12" t="s">
        <v>1190</v>
      </c>
      <c r="C338" s="13" t="s">
        <v>1186</v>
      </c>
      <c r="D338" s="13" t="s">
        <v>1186</v>
      </c>
      <c r="E338" s="13"/>
      <c r="F338" s="12" t="s">
        <v>94</v>
      </c>
      <c r="G338" s="12" t="s">
        <v>93</v>
      </c>
      <c r="H338" s="12" t="s">
        <v>97</v>
      </c>
      <c r="I338" s="12" t="s">
        <v>104</v>
      </c>
      <c r="J338" s="13" t="s">
        <v>106</v>
      </c>
      <c r="K338" s="17" t="s">
        <v>14</v>
      </c>
      <c r="L338" s="12" t="s">
        <v>1187</v>
      </c>
      <c r="M338" s="12" t="s">
        <v>1476</v>
      </c>
      <c r="N338" s="12" t="s">
        <v>1189</v>
      </c>
    </row>
    <row r="339" customFormat="false" ht="68.65" hidden="false" customHeight="false" outlineLevel="0" collapsed="false">
      <c r="A339" s="12" t="s">
        <v>1475</v>
      </c>
      <c r="B339" s="12" t="s">
        <v>1477</v>
      </c>
      <c r="C339" s="13"/>
      <c r="D339" s="13" t="s">
        <v>1186</v>
      </c>
      <c r="E339" s="13"/>
      <c r="F339" s="12" t="s">
        <v>1139</v>
      </c>
      <c r="G339" s="12" t="s">
        <v>1138</v>
      </c>
      <c r="H339" s="12" t="s">
        <v>1140</v>
      </c>
      <c r="I339" s="12" t="s">
        <v>244</v>
      </c>
      <c r="J339" s="13" t="s">
        <v>244</v>
      </c>
      <c r="K339" s="12" t="s">
        <v>22</v>
      </c>
      <c r="L339" s="12" t="s">
        <v>1196</v>
      </c>
      <c r="M339" s="12" t="s">
        <v>550</v>
      </c>
      <c r="N339" s="12" t="s">
        <v>1197</v>
      </c>
    </row>
    <row r="340" customFormat="false" ht="68.65" hidden="false" customHeight="false" outlineLevel="0" collapsed="false">
      <c r="A340" s="12" t="s">
        <v>1475</v>
      </c>
      <c r="B340" s="12" t="s">
        <v>1478</v>
      </c>
      <c r="C340" s="13" t="s">
        <v>1186</v>
      </c>
      <c r="D340" s="13"/>
      <c r="E340" s="13"/>
      <c r="F340" s="12" t="s">
        <v>1139</v>
      </c>
      <c r="G340" s="12" t="s">
        <v>1138</v>
      </c>
      <c r="H340" s="12" t="s">
        <v>1140</v>
      </c>
      <c r="I340" s="12" t="s">
        <v>244</v>
      </c>
      <c r="J340" s="13" t="s">
        <v>244</v>
      </c>
      <c r="K340" s="12" t="s">
        <v>22</v>
      </c>
      <c r="L340" s="12" t="s">
        <v>1196</v>
      </c>
      <c r="M340" s="12" t="s">
        <v>550</v>
      </c>
      <c r="N340" s="12" t="s">
        <v>1197</v>
      </c>
    </row>
    <row r="341" customFormat="false" ht="68.65" hidden="false" customHeight="false" outlineLevel="0" collapsed="false">
      <c r="A341" s="12" t="s">
        <v>1475</v>
      </c>
      <c r="B341" s="12" t="s">
        <v>1479</v>
      </c>
      <c r="C341" s="13"/>
      <c r="D341" s="13"/>
      <c r="E341" s="13" t="s">
        <v>1186</v>
      </c>
      <c r="F341" s="12" t="s">
        <v>1139</v>
      </c>
      <c r="G341" s="12" t="s">
        <v>1138</v>
      </c>
      <c r="H341" s="12" t="s">
        <v>1140</v>
      </c>
      <c r="I341" s="12" t="s">
        <v>244</v>
      </c>
      <c r="J341" s="13" t="s">
        <v>244</v>
      </c>
      <c r="K341" s="12" t="s">
        <v>22</v>
      </c>
      <c r="L341" s="12" t="s">
        <v>1196</v>
      </c>
      <c r="M341" s="12" t="s">
        <v>550</v>
      </c>
      <c r="N341" s="12" t="s">
        <v>1197</v>
      </c>
    </row>
    <row r="342" customFormat="false" ht="68.65" hidden="false" customHeight="false" outlineLevel="0" collapsed="false">
      <c r="A342" s="12" t="s">
        <v>1475</v>
      </c>
      <c r="B342" s="12" t="s">
        <v>1480</v>
      </c>
      <c r="C342" s="13" t="s">
        <v>1186</v>
      </c>
      <c r="D342" s="13" t="s">
        <v>1186</v>
      </c>
      <c r="E342" s="13" t="s">
        <v>1186</v>
      </c>
      <c r="F342" s="12" t="s">
        <v>1139</v>
      </c>
      <c r="G342" s="12" t="s">
        <v>1138</v>
      </c>
      <c r="H342" s="12" t="s">
        <v>1140</v>
      </c>
      <c r="I342" s="12" t="s">
        <v>244</v>
      </c>
      <c r="J342" s="13" t="s">
        <v>244</v>
      </c>
      <c r="K342" s="12" t="s">
        <v>22</v>
      </c>
      <c r="L342" s="12" t="s">
        <v>1196</v>
      </c>
      <c r="M342" s="12" t="s">
        <v>550</v>
      </c>
      <c r="N342" s="12" t="s">
        <v>1197</v>
      </c>
    </row>
    <row r="343" customFormat="false" ht="23.85" hidden="false" customHeight="false" outlineLevel="0" collapsed="false">
      <c r="A343" s="12" t="s">
        <v>1475</v>
      </c>
      <c r="B343" s="12" t="s">
        <v>1205</v>
      </c>
      <c r="C343" s="13" t="s">
        <v>1186</v>
      </c>
      <c r="D343" s="13"/>
      <c r="E343" s="13"/>
      <c r="F343" s="12" t="s">
        <v>158</v>
      </c>
      <c r="G343" s="12" t="s">
        <v>93</v>
      </c>
      <c r="H343" s="12" t="s">
        <v>160</v>
      </c>
      <c r="I343" s="12" t="s">
        <v>164</v>
      </c>
      <c r="J343" s="13" t="s">
        <v>106</v>
      </c>
      <c r="K343" s="12" t="s">
        <v>16</v>
      </c>
      <c r="L343" s="12" t="s">
        <v>1198</v>
      </c>
      <c r="M343" s="12" t="s">
        <v>550</v>
      </c>
      <c r="N343" s="12" t="s">
        <v>1189</v>
      </c>
    </row>
    <row r="344" customFormat="false" ht="68.65" hidden="false" customHeight="false" outlineLevel="0" collapsed="false">
      <c r="A344" s="12" t="s">
        <v>1475</v>
      </c>
      <c r="B344" s="12" t="s">
        <v>1481</v>
      </c>
      <c r="C344" s="13"/>
      <c r="D344" s="13" t="s">
        <v>1186</v>
      </c>
      <c r="E344" s="13"/>
      <c r="F344" s="12" t="s">
        <v>1139</v>
      </c>
      <c r="G344" s="12" t="s">
        <v>1138</v>
      </c>
      <c r="H344" s="12" t="s">
        <v>1140</v>
      </c>
      <c r="I344" s="12" t="s">
        <v>244</v>
      </c>
      <c r="J344" s="13" t="s">
        <v>244</v>
      </c>
      <c r="K344" s="12" t="s">
        <v>22</v>
      </c>
      <c r="L344" s="12" t="s">
        <v>1196</v>
      </c>
      <c r="M344" s="12" t="s">
        <v>550</v>
      </c>
      <c r="N344" s="12" t="s">
        <v>1197</v>
      </c>
    </row>
    <row r="345" customFormat="false" ht="68.65" hidden="false" customHeight="false" outlineLevel="0" collapsed="false">
      <c r="A345" s="12" t="s">
        <v>1475</v>
      </c>
      <c r="B345" s="12" t="s">
        <v>1482</v>
      </c>
      <c r="C345" s="13" t="s">
        <v>1186</v>
      </c>
      <c r="D345" s="13"/>
      <c r="E345" s="13"/>
      <c r="F345" s="12" t="s">
        <v>1139</v>
      </c>
      <c r="G345" s="12" t="s">
        <v>1138</v>
      </c>
      <c r="H345" s="12" t="s">
        <v>1140</v>
      </c>
      <c r="I345" s="12" t="s">
        <v>244</v>
      </c>
      <c r="J345" s="13" t="s">
        <v>244</v>
      </c>
      <c r="K345" s="12" t="s">
        <v>22</v>
      </c>
      <c r="L345" s="12" t="s">
        <v>1196</v>
      </c>
      <c r="M345" s="12" t="s">
        <v>550</v>
      </c>
      <c r="N345" s="12" t="s">
        <v>1197</v>
      </c>
    </row>
    <row r="346" customFormat="false" ht="68.65" hidden="false" customHeight="false" outlineLevel="0" collapsed="false">
      <c r="A346" s="12" t="s">
        <v>1475</v>
      </c>
      <c r="B346" s="12" t="s">
        <v>1435</v>
      </c>
      <c r="C346" s="13"/>
      <c r="D346" s="13"/>
      <c r="E346" s="13" t="s">
        <v>1186</v>
      </c>
      <c r="F346" s="12" t="s">
        <v>1139</v>
      </c>
      <c r="G346" s="12" t="s">
        <v>1138</v>
      </c>
      <c r="H346" s="12" t="s">
        <v>1140</v>
      </c>
      <c r="I346" s="12" t="s">
        <v>244</v>
      </c>
      <c r="J346" s="13" t="s">
        <v>244</v>
      </c>
      <c r="K346" s="12" t="s">
        <v>22</v>
      </c>
      <c r="L346" s="12" t="s">
        <v>1196</v>
      </c>
      <c r="M346" s="12" t="s">
        <v>550</v>
      </c>
      <c r="N346" s="12" t="s">
        <v>1197</v>
      </c>
    </row>
    <row r="347" customFormat="false" ht="46.25" hidden="false" customHeight="false" outlineLevel="0" collapsed="false">
      <c r="A347" s="12" t="s">
        <v>1475</v>
      </c>
      <c r="B347" s="12" t="s">
        <v>1207</v>
      </c>
      <c r="C347" s="13"/>
      <c r="D347" s="13"/>
      <c r="E347" s="13" t="s">
        <v>1186</v>
      </c>
      <c r="F347" s="12" t="s">
        <v>217</v>
      </c>
      <c r="G347" s="12" t="s">
        <v>93</v>
      </c>
      <c r="H347" s="12" t="s">
        <v>218</v>
      </c>
      <c r="I347" s="12" t="s">
        <v>177</v>
      </c>
      <c r="J347" s="13" t="s">
        <v>106</v>
      </c>
      <c r="K347" s="17" t="s">
        <v>14</v>
      </c>
      <c r="L347" s="12" t="s">
        <v>1187</v>
      </c>
      <c r="M347" s="12" t="s">
        <v>1208</v>
      </c>
      <c r="N347" s="12" t="s">
        <v>1209</v>
      </c>
    </row>
    <row r="348" customFormat="false" ht="68.65" hidden="false" customHeight="false" outlineLevel="0" collapsed="false">
      <c r="A348" s="12" t="s">
        <v>1475</v>
      </c>
      <c r="B348" s="12" t="s">
        <v>1387</v>
      </c>
      <c r="C348" s="13" t="s">
        <v>1186</v>
      </c>
      <c r="D348" s="13" t="s">
        <v>1186</v>
      </c>
      <c r="E348" s="13" t="s">
        <v>1186</v>
      </c>
      <c r="F348" s="12" t="s">
        <v>1139</v>
      </c>
      <c r="G348" s="12" t="s">
        <v>1138</v>
      </c>
      <c r="H348" s="12" t="s">
        <v>1140</v>
      </c>
      <c r="I348" s="12" t="s">
        <v>244</v>
      </c>
      <c r="J348" s="13" t="s">
        <v>244</v>
      </c>
      <c r="K348" s="12" t="s">
        <v>22</v>
      </c>
      <c r="L348" s="12" t="s">
        <v>1196</v>
      </c>
      <c r="M348" s="12" t="s">
        <v>550</v>
      </c>
      <c r="N348" s="12" t="s">
        <v>1197</v>
      </c>
    </row>
    <row r="349" customFormat="false" ht="35.05" hidden="false" customHeight="false" outlineLevel="0" collapsed="false">
      <c r="A349" s="12" t="s">
        <v>1475</v>
      </c>
      <c r="B349" s="12" t="s">
        <v>1263</v>
      </c>
      <c r="C349" s="13" t="s">
        <v>1186</v>
      </c>
      <c r="D349" s="13"/>
      <c r="E349" s="13"/>
      <c r="F349" s="12" t="s">
        <v>911</v>
      </c>
      <c r="G349" s="12" t="s">
        <v>897</v>
      </c>
      <c r="H349" s="12" t="s">
        <v>912</v>
      </c>
      <c r="I349" s="12" t="s">
        <v>244</v>
      </c>
      <c r="J349" s="13" t="s">
        <v>244</v>
      </c>
      <c r="K349" s="12" t="s">
        <v>20</v>
      </c>
      <c r="L349" s="12" t="s">
        <v>1264</v>
      </c>
      <c r="M349" s="12" t="s">
        <v>550</v>
      </c>
      <c r="N349" s="12" t="s">
        <v>1217</v>
      </c>
    </row>
    <row r="350" customFormat="false" ht="35.05" hidden="false" customHeight="false" outlineLevel="0" collapsed="false">
      <c r="A350" s="12" t="s">
        <v>1475</v>
      </c>
      <c r="B350" s="12" t="s">
        <v>1272</v>
      </c>
      <c r="C350" s="13"/>
      <c r="D350" s="13"/>
      <c r="E350" s="13" t="s">
        <v>1186</v>
      </c>
      <c r="F350" s="12" t="s">
        <v>345</v>
      </c>
      <c r="G350" s="12" t="s">
        <v>344</v>
      </c>
      <c r="H350" s="12" t="s">
        <v>347</v>
      </c>
      <c r="I350" s="12" t="s">
        <v>351</v>
      </c>
      <c r="J350" s="13" t="s">
        <v>106</v>
      </c>
      <c r="K350" s="12" t="s">
        <v>16</v>
      </c>
      <c r="L350" s="12" t="s">
        <v>1198</v>
      </c>
      <c r="M350" s="12" t="s">
        <v>550</v>
      </c>
      <c r="N350" s="12" t="s">
        <v>1274</v>
      </c>
    </row>
    <row r="351" customFormat="false" ht="35.05" hidden="false" customHeight="false" outlineLevel="0" collapsed="false">
      <c r="A351" s="12" t="s">
        <v>1475</v>
      </c>
      <c r="B351" s="12" t="s">
        <v>1483</v>
      </c>
      <c r="C351" s="13" t="s">
        <v>1186</v>
      </c>
      <c r="D351" s="13"/>
      <c r="E351" s="13"/>
      <c r="F351" s="12" t="s">
        <v>1151</v>
      </c>
      <c r="G351" s="12" t="s">
        <v>1138</v>
      </c>
      <c r="H351" s="12" t="s">
        <v>1152</v>
      </c>
      <c r="I351" s="12" t="s">
        <v>244</v>
      </c>
      <c r="J351" s="13" t="s">
        <v>244</v>
      </c>
      <c r="K351" s="12" t="s">
        <v>22</v>
      </c>
      <c r="L351" s="12" t="s">
        <v>1271</v>
      </c>
      <c r="M351" s="12" t="s">
        <v>550</v>
      </c>
      <c r="N351" s="12" t="s">
        <v>1223</v>
      </c>
    </row>
    <row r="352" customFormat="false" ht="23.85" hidden="false" customHeight="false" outlineLevel="0" collapsed="false">
      <c r="A352" s="12" t="s">
        <v>1475</v>
      </c>
      <c r="B352" s="12" t="s">
        <v>1401</v>
      </c>
      <c r="C352" s="13"/>
      <c r="D352" s="13"/>
      <c r="E352" s="13" t="s">
        <v>1186</v>
      </c>
      <c r="F352" s="12" t="s">
        <v>464</v>
      </c>
      <c r="G352" s="12" t="s">
        <v>463</v>
      </c>
      <c r="H352" s="12" t="s">
        <v>465</v>
      </c>
      <c r="I352" s="12" t="s">
        <v>469</v>
      </c>
      <c r="J352" s="13" t="s">
        <v>106</v>
      </c>
      <c r="K352" s="17" t="s">
        <v>14</v>
      </c>
      <c r="L352" s="12" t="s">
        <v>1187</v>
      </c>
      <c r="M352" s="12" t="s">
        <v>1254</v>
      </c>
      <c r="N352" s="12" t="s">
        <v>1290</v>
      </c>
    </row>
    <row r="353" customFormat="false" ht="23.85" hidden="false" customHeight="false" outlineLevel="0" collapsed="false">
      <c r="A353" s="12" t="s">
        <v>1475</v>
      </c>
      <c r="B353" s="12" t="s">
        <v>1484</v>
      </c>
      <c r="C353" s="13" t="s">
        <v>1186</v>
      </c>
      <c r="D353" s="13"/>
      <c r="E353" s="13"/>
      <c r="F353" s="12" t="s">
        <v>297</v>
      </c>
      <c r="G353" s="12" t="s">
        <v>224</v>
      </c>
      <c r="H353" s="12" t="s">
        <v>248</v>
      </c>
      <c r="I353" s="12" t="s">
        <v>189</v>
      </c>
      <c r="J353" s="13" t="s">
        <v>106</v>
      </c>
      <c r="K353" s="12" t="s">
        <v>16</v>
      </c>
      <c r="L353" s="12" t="s">
        <v>1198</v>
      </c>
      <c r="M353" s="12" t="s">
        <v>550</v>
      </c>
      <c r="N353" s="12" t="s">
        <v>1343</v>
      </c>
    </row>
    <row r="354" customFormat="false" ht="68.65" hidden="false" customHeight="false" outlineLevel="0" collapsed="false">
      <c r="A354" s="12" t="s">
        <v>1475</v>
      </c>
      <c r="B354" s="12" t="s">
        <v>1485</v>
      </c>
      <c r="C354" s="13" t="s">
        <v>1186</v>
      </c>
      <c r="D354" s="13"/>
      <c r="E354" s="13"/>
      <c r="F354" s="12" t="s">
        <v>1139</v>
      </c>
      <c r="G354" s="12" t="s">
        <v>1138</v>
      </c>
      <c r="H354" s="12" t="s">
        <v>1140</v>
      </c>
      <c r="I354" s="12" t="s">
        <v>244</v>
      </c>
      <c r="J354" s="13" t="s">
        <v>244</v>
      </c>
      <c r="K354" s="12" t="s">
        <v>22</v>
      </c>
      <c r="L354" s="12" t="s">
        <v>1196</v>
      </c>
      <c r="M354" s="12" t="s">
        <v>550</v>
      </c>
      <c r="N354" s="12" t="s">
        <v>1197</v>
      </c>
    </row>
    <row r="355" customFormat="false" ht="68.65" hidden="false" customHeight="false" outlineLevel="0" collapsed="false">
      <c r="A355" s="12" t="s">
        <v>1475</v>
      </c>
      <c r="B355" s="12" t="s">
        <v>1486</v>
      </c>
      <c r="C355" s="13"/>
      <c r="D355" s="13" t="s">
        <v>1186</v>
      </c>
      <c r="E355" s="13" t="s">
        <v>1186</v>
      </c>
      <c r="F355" s="12" t="s">
        <v>1139</v>
      </c>
      <c r="G355" s="12" t="s">
        <v>1138</v>
      </c>
      <c r="H355" s="12" t="s">
        <v>1140</v>
      </c>
      <c r="I355" s="12" t="s">
        <v>244</v>
      </c>
      <c r="J355" s="13" t="s">
        <v>244</v>
      </c>
      <c r="K355" s="12" t="s">
        <v>22</v>
      </c>
      <c r="L355" s="12" t="s">
        <v>1196</v>
      </c>
      <c r="M355" s="12" t="s">
        <v>550</v>
      </c>
      <c r="N355" s="12" t="s">
        <v>1197</v>
      </c>
    </row>
    <row r="356" customFormat="false" ht="46.25" hidden="false" customHeight="false" outlineLevel="0" collapsed="false">
      <c r="A356" s="12" t="s">
        <v>1475</v>
      </c>
      <c r="B356" s="12" t="s">
        <v>1214</v>
      </c>
      <c r="C356" s="13"/>
      <c r="D356" s="13"/>
      <c r="E356" s="13" t="s">
        <v>1186</v>
      </c>
      <c r="F356" s="12" t="s">
        <v>171</v>
      </c>
      <c r="G356" s="12" t="s">
        <v>93</v>
      </c>
      <c r="H356" s="12" t="s">
        <v>173</v>
      </c>
      <c r="I356" s="12" t="s">
        <v>177</v>
      </c>
      <c r="J356" s="13" t="s">
        <v>106</v>
      </c>
      <c r="K356" s="17" t="s">
        <v>14</v>
      </c>
      <c r="L356" s="12" t="s">
        <v>1187</v>
      </c>
      <c r="M356" s="12" t="s">
        <v>1487</v>
      </c>
      <c r="N356" s="12" t="s">
        <v>1209</v>
      </c>
    </row>
  </sheetData>
  <autoFilter ref="A1:N3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4" min="3" style="0" width="10"/>
    <col collapsed="false" customWidth="true" hidden="false" outlineLevel="0" max="5" min="5" style="0" width="11"/>
    <col collapsed="false" customWidth="true" hidden="false" outlineLevel="0" max="6" min="6" style="0" width="26"/>
    <col collapsed="false" customWidth="true" hidden="false" outlineLevel="0" max="7" min="7" style="0" width="52"/>
    <col collapsed="false" customWidth="true" hidden="false" outlineLevel="0" max="8" min="8" style="0" width="16"/>
    <col collapsed="false" customWidth="true" hidden="false" outlineLevel="0" max="9" min="9" style="0" width="50"/>
  </cols>
  <sheetData>
    <row r="1" customFormat="false" ht="31.5" hidden="false" customHeight="true" outlineLevel="0" collapsed="false">
      <c r="A1" s="10" t="s">
        <v>1488</v>
      </c>
      <c r="B1" s="10" t="s">
        <v>1176</v>
      </c>
      <c r="C1" s="10" t="s">
        <v>81</v>
      </c>
      <c r="D1" s="10" t="s">
        <v>82</v>
      </c>
      <c r="E1" s="10" t="s">
        <v>83</v>
      </c>
      <c r="F1" s="10" t="s">
        <v>1489</v>
      </c>
      <c r="G1" s="10" t="s">
        <v>1490</v>
      </c>
      <c r="H1" s="10" t="s">
        <v>1491</v>
      </c>
      <c r="I1" s="10" t="s">
        <v>1492</v>
      </c>
    </row>
    <row r="2" customFormat="false" ht="23.85" hidden="false" customHeight="false" outlineLevel="0" collapsed="false">
      <c r="A2" s="12" t="s">
        <v>1493</v>
      </c>
      <c r="B2" s="13" t="s">
        <v>442</v>
      </c>
      <c r="C2" s="13" t="s">
        <v>1186</v>
      </c>
      <c r="D2" s="13"/>
      <c r="E2" s="13"/>
      <c r="F2" s="12" t="s">
        <v>81</v>
      </c>
      <c r="G2" s="12" t="s">
        <v>170</v>
      </c>
      <c r="H2" s="12" t="s">
        <v>1494</v>
      </c>
      <c r="I2" s="15" t="s">
        <v>1495</v>
      </c>
    </row>
    <row r="3" customFormat="false" ht="23.85" hidden="false" customHeight="false" outlineLevel="0" collapsed="false">
      <c r="A3" s="12" t="s">
        <v>1493</v>
      </c>
      <c r="B3" s="13" t="s">
        <v>255</v>
      </c>
      <c r="C3" s="13" t="s">
        <v>1186</v>
      </c>
      <c r="D3" s="13"/>
      <c r="E3" s="13"/>
      <c r="F3" s="12" t="s">
        <v>81</v>
      </c>
      <c r="G3" s="12" t="s">
        <v>170</v>
      </c>
      <c r="H3" s="12" t="s">
        <v>1494</v>
      </c>
      <c r="I3" s="15" t="s">
        <v>1495</v>
      </c>
    </row>
    <row r="4" customFormat="false" ht="23.85" hidden="false" customHeight="false" outlineLevel="0" collapsed="false">
      <c r="A4" s="12" t="s">
        <v>1496</v>
      </c>
      <c r="B4" s="13" t="s">
        <v>255</v>
      </c>
      <c r="C4" s="13"/>
      <c r="D4" s="13"/>
      <c r="E4" s="13" t="s">
        <v>1186</v>
      </c>
      <c r="F4" s="12" t="s">
        <v>83</v>
      </c>
      <c r="G4" s="12" t="s">
        <v>170</v>
      </c>
      <c r="H4" s="12" t="s">
        <v>1494</v>
      </c>
      <c r="I4" s="15" t="s">
        <v>1495</v>
      </c>
    </row>
    <row r="5" customFormat="false" ht="23.85" hidden="false" customHeight="false" outlineLevel="0" collapsed="false">
      <c r="A5" s="12" t="s">
        <v>1497</v>
      </c>
      <c r="B5" s="13" t="s">
        <v>1498</v>
      </c>
      <c r="C5" s="13" t="s">
        <v>1186</v>
      </c>
      <c r="D5" s="13"/>
      <c r="E5" s="13" t="s">
        <v>1186</v>
      </c>
      <c r="F5" s="12" t="s">
        <v>1499</v>
      </c>
      <c r="G5" s="12" t="s">
        <v>170</v>
      </c>
      <c r="H5" s="12" t="s">
        <v>1494</v>
      </c>
      <c r="I5" s="15" t="s">
        <v>1495</v>
      </c>
    </row>
    <row r="6" customFormat="false" ht="23.85" hidden="false" customHeight="false" outlineLevel="0" collapsed="false">
      <c r="A6" s="12" t="s">
        <v>1500</v>
      </c>
      <c r="B6" s="13" t="s">
        <v>1501</v>
      </c>
      <c r="C6" s="13"/>
      <c r="D6" s="13" t="s">
        <v>1186</v>
      </c>
      <c r="E6" s="13"/>
      <c r="F6" s="12" t="s">
        <v>82</v>
      </c>
      <c r="G6" s="12" t="s">
        <v>170</v>
      </c>
      <c r="H6" s="12" t="s">
        <v>1494</v>
      </c>
      <c r="I6" s="15" t="s">
        <v>1495</v>
      </c>
    </row>
    <row r="7" customFormat="false" ht="23.85" hidden="false" customHeight="false" outlineLevel="0" collapsed="false">
      <c r="A7" s="12" t="s">
        <v>1500</v>
      </c>
      <c r="B7" s="13" t="s">
        <v>305</v>
      </c>
      <c r="C7" s="13" t="s">
        <v>1186</v>
      </c>
      <c r="D7" s="13"/>
      <c r="E7" s="13"/>
      <c r="F7" s="12" t="s">
        <v>81</v>
      </c>
      <c r="G7" s="12" t="s">
        <v>170</v>
      </c>
      <c r="H7" s="12" t="s">
        <v>1494</v>
      </c>
      <c r="I7" s="15" t="s">
        <v>1495</v>
      </c>
    </row>
    <row r="8" customFormat="false" ht="23.85" hidden="false" customHeight="false" outlineLevel="0" collapsed="false">
      <c r="A8" s="12" t="s">
        <v>1502</v>
      </c>
      <c r="B8" s="13" t="s">
        <v>316</v>
      </c>
      <c r="C8" s="13" t="s">
        <v>1186</v>
      </c>
      <c r="D8" s="13"/>
      <c r="E8" s="13"/>
      <c r="F8" s="12" t="s">
        <v>81</v>
      </c>
      <c r="G8" s="12" t="s">
        <v>170</v>
      </c>
      <c r="H8" s="12" t="s">
        <v>1494</v>
      </c>
      <c r="I8" s="15" t="s">
        <v>1495</v>
      </c>
    </row>
    <row r="9" customFormat="false" ht="23.85" hidden="false" customHeight="false" outlineLevel="0" collapsed="false">
      <c r="A9" s="12" t="s">
        <v>112</v>
      </c>
      <c r="B9" s="13" t="s">
        <v>1503</v>
      </c>
      <c r="C9" s="13" t="n">
        <v>2</v>
      </c>
      <c r="D9" s="13"/>
      <c r="E9" s="13"/>
      <c r="F9" s="12" t="s">
        <v>81</v>
      </c>
      <c r="G9" s="12" t="s">
        <v>123</v>
      </c>
      <c r="H9" s="12" t="s">
        <v>1504</v>
      </c>
      <c r="I9" s="15" t="s">
        <v>1505</v>
      </c>
    </row>
    <row r="10" customFormat="false" ht="23.85" hidden="false" customHeight="false" outlineLevel="0" collapsed="false">
      <c r="A10" s="12" t="s">
        <v>112</v>
      </c>
      <c r="B10" s="13" t="s">
        <v>1506</v>
      </c>
      <c r="C10" s="13" t="n">
        <v>3</v>
      </c>
      <c r="D10" s="13"/>
      <c r="E10" s="13"/>
      <c r="F10" s="12" t="s">
        <v>81</v>
      </c>
      <c r="G10" s="12" t="s">
        <v>123</v>
      </c>
      <c r="H10" s="12" t="s">
        <v>1504</v>
      </c>
      <c r="I10" s="15" t="s">
        <v>1505</v>
      </c>
    </row>
    <row r="11" customFormat="false" ht="23.85" hidden="false" customHeight="false" outlineLevel="0" collapsed="false">
      <c r="A11" s="12" t="s">
        <v>112</v>
      </c>
      <c r="B11" s="13" t="s">
        <v>1507</v>
      </c>
      <c r="C11" s="13" t="n">
        <v>6</v>
      </c>
      <c r="D11" s="13"/>
      <c r="E11" s="13"/>
      <c r="F11" s="12" t="s">
        <v>81</v>
      </c>
      <c r="G11" s="12" t="s">
        <v>123</v>
      </c>
      <c r="H11" s="12" t="s">
        <v>1504</v>
      </c>
      <c r="I11" s="15" t="s">
        <v>1505</v>
      </c>
    </row>
    <row r="12" customFormat="false" ht="23.85" hidden="false" customHeight="false" outlineLevel="0" collapsed="false">
      <c r="A12" s="12" t="s">
        <v>112</v>
      </c>
      <c r="B12" s="13" t="s">
        <v>249</v>
      </c>
      <c r="C12" s="13" t="n">
        <v>41</v>
      </c>
      <c r="D12" s="13" t="n">
        <v>1</v>
      </c>
      <c r="E12" s="13" t="n">
        <v>2</v>
      </c>
      <c r="F12" s="12" t="s">
        <v>81</v>
      </c>
      <c r="G12" s="12" t="s">
        <v>123</v>
      </c>
      <c r="H12" s="12" t="s">
        <v>1504</v>
      </c>
      <c r="I12" s="15" t="s">
        <v>1505</v>
      </c>
    </row>
    <row r="13" customFormat="false" ht="23.85" hidden="false" customHeight="false" outlineLevel="0" collapsed="false">
      <c r="A13" s="12" t="s">
        <v>112</v>
      </c>
      <c r="B13" s="13" t="s">
        <v>249</v>
      </c>
      <c r="C13" s="13" t="s">
        <v>1186</v>
      </c>
      <c r="D13" s="13"/>
      <c r="E13" s="13"/>
      <c r="F13" s="12" t="s">
        <v>81</v>
      </c>
      <c r="G13" s="12" t="s">
        <v>170</v>
      </c>
      <c r="H13" s="12" t="s">
        <v>1494</v>
      </c>
      <c r="I13" s="15" t="s">
        <v>1495</v>
      </c>
    </row>
    <row r="14" customFormat="false" ht="23.85" hidden="false" customHeight="false" outlineLevel="0" collapsed="false">
      <c r="A14" s="12" t="s">
        <v>112</v>
      </c>
      <c r="B14" s="13" t="s">
        <v>1508</v>
      </c>
      <c r="C14" s="13" t="n">
        <v>16</v>
      </c>
      <c r="D14" s="13"/>
      <c r="E14" s="13"/>
      <c r="F14" s="12" t="s">
        <v>81</v>
      </c>
      <c r="G14" s="12" t="s">
        <v>123</v>
      </c>
      <c r="H14" s="12" t="s">
        <v>1504</v>
      </c>
      <c r="I14" s="15" t="s">
        <v>1505</v>
      </c>
    </row>
    <row r="15" customFormat="false" ht="23.85" hidden="false" customHeight="false" outlineLevel="0" collapsed="false">
      <c r="A15" s="12" t="s">
        <v>112</v>
      </c>
      <c r="B15" s="13" t="s">
        <v>1509</v>
      </c>
      <c r="C15" s="13" t="n">
        <v>4</v>
      </c>
      <c r="D15" s="13"/>
      <c r="E15" s="13" t="n">
        <v>1</v>
      </c>
      <c r="F15" s="12" t="s">
        <v>81</v>
      </c>
      <c r="G15" s="12" t="s">
        <v>123</v>
      </c>
      <c r="H15" s="12" t="s">
        <v>1504</v>
      </c>
      <c r="I15" s="15" t="s">
        <v>1505</v>
      </c>
    </row>
    <row r="16" customFormat="false" ht="23.85" hidden="false" customHeight="false" outlineLevel="0" collapsed="false">
      <c r="A16" s="12" t="s">
        <v>112</v>
      </c>
      <c r="B16" s="13" t="s">
        <v>1510</v>
      </c>
      <c r="C16" s="13" t="n">
        <v>3</v>
      </c>
      <c r="D16" s="13" t="n">
        <v>1</v>
      </c>
      <c r="E16" s="13"/>
      <c r="F16" s="12" t="s">
        <v>81</v>
      </c>
      <c r="G16" s="12" t="s">
        <v>123</v>
      </c>
      <c r="H16" s="12" t="s">
        <v>1504</v>
      </c>
      <c r="I16" s="15" t="s">
        <v>1505</v>
      </c>
    </row>
    <row r="17" customFormat="false" ht="23.85" hidden="false" customHeight="false" outlineLevel="0" collapsed="false">
      <c r="A17" s="12" t="s">
        <v>112</v>
      </c>
      <c r="B17" s="13" t="s">
        <v>1511</v>
      </c>
      <c r="C17" s="13" t="n">
        <v>5</v>
      </c>
      <c r="D17" s="13"/>
      <c r="E17" s="13"/>
      <c r="F17" s="12" t="s">
        <v>81</v>
      </c>
      <c r="G17" s="12" t="s">
        <v>123</v>
      </c>
      <c r="H17" s="12" t="s">
        <v>1504</v>
      </c>
      <c r="I17" s="15" t="s">
        <v>1505</v>
      </c>
    </row>
    <row r="18" customFormat="false" ht="23.85" hidden="false" customHeight="false" outlineLevel="0" collapsed="false">
      <c r="A18" s="12" t="s">
        <v>112</v>
      </c>
      <c r="B18" s="13" t="s">
        <v>1511</v>
      </c>
      <c r="C18" s="13" t="s">
        <v>1186</v>
      </c>
      <c r="D18" s="13"/>
      <c r="E18" s="13" t="s">
        <v>1186</v>
      </c>
      <c r="F18" s="12" t="s">
        <v>1499</v>
      </c>
      <c r="G18" s="12" t="s">
        <v>170</v>
      </c>
      <c r="H18" s="12" t="s">
        <v>1494</v>
      </c>
      <c r="I18" s="15" t="s">
        <v>1495</v>
      </c>
    </row>
    <row r="19" customFormat="false" ht="23.85" hidden="false" customHeight="false" outlineLevel="0" collapsed="false">
      <c r="A19" s="12" t="s">
        <v>112</v>
      </c>
      <c r="B19" s="13" t="s">
        <v>256</v>
      </c>
      <c r="C19" s="13" t="n">
        <v>27</v>
      </c>
      <c r="D19" s="13" t="n">
        <v>1</v>
      </c>
      <c r="E19" s="13" t="n">
        <v>1</v>
      </c>
      <c r="F19" s="12" t="s">
        <v>81</v>
      </c>
      <c r="G19" s="12" t="s">
        <v>123</v>
      </c>
      <c r="H19" s="12" t="s">
        <v>1504</v>
      </c>
      <c r="I19" s="15" t="s">
        <v>1505</v>
      </c>
    </row>
    <row r="20" customFormat="false" ht="23.85" hidden="false" customHeight="false" outlineLevel="0" collapsed="false">
      <c r="A20" s="12" t="s">
        <v>112</v>
      </c>
      <c r="B20" s="13" t="s">
        <v>256</v>
      </c>
      <c r="C20" s="13" t="s">
        <v>1186</v>
      </c>
      <c r="D20" s="13"/>
      <c r="E20" s="13"/>
      <c r="F20" s="12" t="s">
        <v>81</v>
      </c>
      <c r="G20" s="12" t="s">
        <v>170</v>
      </c>
      <c r="H20" s="12" t="s">
        <v>1494</v>
      </c>
      <c r="I20" s="15" t="s">
        <v>1495</v>
      </c>
    </row>
    <row r="21" customFormat="false" ht="23.85" hidden="false" customHeight="false" outlineLevel="0" collapsed="false">
      <c r="A21" s="12" t="s">
        <v>112</v>
      </c>
      <c r="B21" s="13" t="s">
        <v>1501</v>
      </c>
      <c r="C21" s="13" t="n">
        <v>18</v>
      </c>
      <c r="D21" s="13"/>
      <c r="E21" s="13" t="n">
        <v>2</v>
      </c>
      <c r="F21" s="12" t="s">
        <v>81</v>
      </c>
      <c r="G21" s="12" t="s">
        <v>123</v>
      </c>
      <c r="H21" s="12" t="s">
        <v>1504</v>
      </c>
      <c r="I21" s="15" t="s">
        <v>1505</v>
      </c>
    </row>
    <row r="22" customFormat="false" ht="23.85" hidden="false" customHeight="false" outlineLevel="0" collapsed="false">
      <c r="A22" s="12" t="s">
        <v>112</v>
      </c>
      <c r="B22" s="13" t="s">
        <v>1501</v>
      </c>
      <c r="C22" s="13" t="s">
        <v>1186</v>
      </c>
      <c r="D22" s="13"/>
      <c r="E22" s="13" t="s">
        <v>1186</v>
      </c>
      <c r="F22" s="12" t="s">
        <v>1499</v>
      </c>
      <c r="G22" s="12" t="s">
        <v>170</v>
      </c>
      <c r="H22" s="12" t="s">
        <v>1494</v>
      </c>
      <c r="I22" s="15" t="s">
        <v>1495</v>
      </c>
    </row>
    <row r="23" customFormat="false" ht="23.85" hidden="false" customHeight="false" outlineLevel="0" collapsed="false">
      <c r="A23" s="12" t="s">
        <v>112</v>
      </c>
      <c r="B23" s="13" t="s">
        <v>300</v>
      </c>
      <c r="C23" s="13" t="n">
        <v>2</v>
      </c>
      <c r="D23" s="13"/>
      <c r="E23" s="13"/>
      <c r="F23" s="12" t="s">
        <v>81</v>
      </c>
      <c r="G23" s="12" t="s">
        <v>123</v>
      </c>
      <c r="H23" s="12" t="s">
        <v>1504</v>
      </c>
      <c r="I23" s="15" t="s">
        <v>1505</v>
      </c>
    </row>
    <row r="24" customFormat="false" ht="23.85" hidden="false" customHeight="false" outlineLevel="0" collapsed="false">
      <c r="A24" s="12" t="s">
        <v>112</v>
      </c>
      <c r="B24" s="13" t="s">
        <v>300</v>
      </c>
      <c r="C24" s="13" t="s">
        <v>1186</v>
      </c>
      <c r="D24" s="13"/>
      <c r="E24" s="13"/>
      <c r="F24" s="12" t="s">
        <v>81</v>
      </c>
      <c r="G24" s="12" t="s">
        <v>170</v>
      </c>
      <c r="H24" s="12" t="s">
        <v>1494</v>
      </c>
      <c r="I24" s="15" t="s">
        <v>1495</v>
      </c>
    </row>
    <row r="25" customFormat="false" ht="23.85" hidden="false" customHeight="false" outlineLevel="0" collapsed="false">
      <c r="A25" s="12" t="s">
        <v>112</v>
      </c>
      <c r="B25" s="13" t="s">
        <v>1512</v>
      </c>
      <c r="C25" s="13" t="n">
        <v>19</v>
      </c>
      <c r="D25" s="13"/>
      <c r="E25" s="13"/>
      <c r="F25" s="12" t="s">
        <v>81</v>
      </c>
      <c r="G25" s="12" t="s">
        <v>123</v>
      </c>
      <c r="H25" s="12" t="s">
        <v>1504</v>
      </c>
      <c r="I25" s="15" t="s">
        <v>1505</v>
      </c>
    </row>
    <row r="26" customFormat="false" ht="23.85" hidden="false" customHeight="false" outlineLevel="0" collapsed="false">
      <c r="A26" s="12" t="s">
        <v>112</v>
      </c>
      <c r="B26" s="13" t="s">
        <v>442</v>
      </c>
      <c r="C26" s="13" t="n">
        <v>2</v>
      </c>
      <c r="D26" s="13"/>
      <c r="E26" s="13"/>
      <c r="F26" s="12" t="s">
        <v>81</v>
      </c>
      <c r="G26" s="12" t="s">
        <v>123</v>
      </c>
      <c r="H26" s="12" t="s">
        <v>1504</v>
      </c>
      <c r="I26" s="15" t="s">
        <v>1505</v>
      </c>
    </row>
    <row r="27" customFormat="false" ht="23.85" hidden="false" customHeight="false" outlineLevel="0" collapsed="false">
      <c r="A27" s="12" t="s">
        <v>112</v>
      </c>
      <c r="B27" s="13" t="s">
        <v>442</v>
      </c>
      <c r="C27" s="13" t="s">
        <v>1186</v>
      </c>
      <c r="D27" s="13"/>
      <c r="E27" s="13"/>
      <c r="F27" s="12" t="s">
        <v>81</v>
      </c>
      <c r="G27" s="12" t="s">
        <v>170</v>
      </c>
      <c r="H27" s="12" t="s">
        <v>1494</v>
      </c>
      <c r="I27" s="15" t="s">
        <v>1495</v>
      </c>
    </row>
    <row r="28" customFormat="false" ht="23.85" hidden="false" customHeight="false" outlineLevel="0" collapsed="false">
      <c r="A28" s="12" t="s">
        <v>112</v>
      </c>
      <c r="B28" s="13" t="s">
        <v>445</v>
      </c>
      <c r="C28" s="13" t="n">
        <v>1</v>
      </c>
      <c r="D28" s="13"/>
      <c r="E28" s="13"/>
      <c r="F28" s="12" t="s">
        <v>81</v>
      </c>
      <c r="G28" s="12" t="s">
        <v>123</v>
      </c>
      <c r="H28" s="12" t="s">
        <v>1504</v>
      </c>
      <c r="I28" s="15" t="s">
        <v>1505</v>
      </c>
    </row>
    <row r="29" customFormat="false" ht="23.85" hidden="false" customHeight="false" outlineLevel="0" collapsed="false">
      <c r="A29" s="12" t="s">
        <v>112</v>
      </c>
      <c r="B29" s="13" t="s">
        <v>1513</v>
      </c>
      <c r="C29" s="13" t="n">
        <v>5</v>
      </c>
      <c r="D29" s="13"/>
      <c r="E29" s="13"/>
      <c r="F29" s="12" t="s">
        <v>81</v>
      </c>
      <c r="G29" s="12" t="s">
        <v>123</v>
      </c>
      <c r="H29" s="12" t="s">
        <v>1504</v>
      </c>
      <c r="I29" s="15" t="s">
        <v>1505</v>
      </c>
    </row>
    <row r="30" customFormat="false" ht="23.85" hidden="false" customHeight="false" outlineLevel="0" collapsed="false">
      <c r="A30" s="12" t="s">
        <v>112</v>
      </c>
      <c r="B30" s="13" t="s">
        <v>1513</v>
      </c>
      <c r="C30" s="13" t="s">
        <v>1186</v>
      </c>
      <c r="D30" s="13"/>
      <c r="E30" s="13" t="s">
        <v>1186</v>
      </c>
      <c r="F30" s="12" t="s">
        <v>1499</v>
      </c>
      <c r="G30" s="12" t="s">
        <v>170</v>
      </c>
      <c r="H30" s="12" t="s">
        <v>1494</v>
      </c>
      <c r="I30" s="15" t="s">
        <v>1495</v>
      </c>
    </row>
    <row r="31" customFormat="false" ht="23.85" hidden="false" customHeight="false" outlineLevel="0" collapsed="false">
      <c r="A31" s="12" t="s">
        <v>112</v>
      </c>
      <c r="B31" s="13" t="s">
        <v>1514</v>
      </c>
      <c r="C31" s="13" t="n">
        <v>1</v>
      </c>
      <c r="D31" s="13"/>
      <c r="E31" s="13"/>
      <c r="F31" s="12" t="s">
        <v>81</v>
      </c>
      <c r="G31" s="12" t="s">
        <v>123</v>
      </c>
      <c r="H31" s="12" t="s">
        <v>1504</v>
      </c>
      <c r="I31" s="15" t="s">
        <v>1505</v>
      </c>
    </row>
    <row r="32" customFormat="false" ht="23.85" hidden="false" customHeight="false" outlineLevel="0" collapsed="false">
      <c r="A32" s="12" t="s">
        <v>112</v>
      </c>
      <c r="B32" s="13" t="s">
        <v>255</v>
      </c>
      <c r="C32" s="13" t="n">
        <v>12</v>
      </c>
      <c r="D32" s="13"/>
      <c r="E32" s="13"/>
      <c r="F32" s="12" t="s">
        <v>81</v>
      </c>
      <c r="G32" s="12" t="s">
        <v>123</v>
      </c>
      <c r="H32" s="12" t="s">
        <v>1504</v>
      </c>
      <c r="I32" s="15" t="s">
        <v>1505</v>
      </c>
    </row>
    <row r="33" customFormat="false" ht="23.85" hidden="false" customHeight="false" outlineLevel="0" collapsed="false">
      <c r="A33" s="12" t="s">
        <v>112</v>
      </c>
      <c r="B33" s="13" t="s">
        <v>1498</v>
      </c>
      <c r="C33" s="13" t="n">
        <v>7</v>
      </c>
      <c r="D33" s="13"/>
      <c r="E33" s="13"/>
      <c r="F33" s="12" t="s">
        <v>81</v>
      </c>
      <c r="G33" s="12" t="s">
        <v>123</v>
      </c>
      <c r="H33" s="12" t="s">
        <v>1504</v>
      </c>
      <c r="I33" s="15" t="s">
        <v>1505</v>
      </c>
    </row>
    <row r="34" customFormat="false" ht="23.85" hidden="false" customHeight="false" outlineLevel="0" collapsed="false">
      <c r="A34" s="12" t="s">
        <v>112</v>
      </c>
      <c r="B34" s="13" t="s">
        <v>1515</v>
      </c>
      <c r="C34" s="13" t="n">
        <v>9</v>
      </c>
      <c r="D34" s="13"/>
      <c r="E34" s="13"/>
      <c r="F34" s="12" t="s">
        <v>81</v>
      </c>
      <c r="G34" s="12" t="s">
        <v>123</v>
      </c>
      <c r="H34" s="12" t="s">
        <v>1504</v>
      </c>
      <c r="I34" s="15" t="s">
        <v>1505</v>
      </c>
    </row>
    <row r="35" customFormat="false" ht="23.85" hidden="false" customHeight="false" outlineLevel="0" collapsed="false">
      <c r="A35" s="12" t="s">
        <v>112</v>
      </c>
      <c r="B35" s="13" t="s">
        <v>490</v>
      </c>
      <c r="C35" s="13" t="n">
        <v>4</v>
      </c>
      <c r="D35" s="13"/>
      <c r="E35" s="13"/>
      <c r="F35" s="12" t="s">
        <v>81</v>
      </c>
      <c r="G35" s="12" t="s">
        <v>123</v>
      </c>
      <c r="H35" s="12" t="s">
        <v>1504</v>
      </c>
      <c r="I35" s="15" t="s">
        <v>1505</v>
      </c>
    </row>
    <row r="36" customFormat="false" ht="23.85" hidden="false" customHeight="false" outlineLevel="0" collapsed="false">
      <c r="A36" s="12" t="s">
        <v>112</v>
      </c>
      <c r="B36" s="13" t="s">
        <v>1516</v>
      </c>
      <c r="C36" s="13" t="n">
        <v>3</v>
      </c>
      <c r="D36" s="13"/>
      <c r="E36" s="13"/>
      <c r="F36" s="12" t="s">
        <v>81</v>
      </c>
      <c r="G36" s="12" t="s">
        <v>123</v>
      </c>
      <c r="H36" s="12" t="s">
        <v>1504</v>
      </c>
      <c r="I36" s="15" t="s">
        <v>1505</v>
      </c>
    </row>
    <row r="37" customFormat="false" ht="23.85" hidden="false" customHeight="false" outlineLevel="0" collapsed="false">
      <c r="A37" s="12" t="s">
        <v>112</v>
      </c>
      <c r="B37" s="13" t="s">
        <v>1517</v>
      </c>
      <c r="C37" s="13" t="n">
        <v>2</v>
      </c>
      <c r="D37" s="13" t="n">
        <v>2</v>
      </c>
      <c r="E37" s="13"/>
      <c r="F37" s="12" t="s">
        <v>1518</v>
      </c>
      <c r="G37" s="12" t="s">
        <v>123</v>
      </c>
      <c r="H37" s="12" t="s">
        <v>1504</v>
      </c>
      <c r="I37" s="15" t="s">
        <v>1505</v>
      </c>
    </row>
    <row r="38" customFormat="false" ht="23.85" hidden="false" customHeight="false" outlineLevel="0" collapsed="false">
      <c r="A38" s="12" t="s">
        <v>112</v>
      </c>
      <c r="B38" s="13" t="s">
        <v>1519</v>
      </c>
      <c r="C38" s="13" t="n">
        <v>12</v>
      </c>
      <c r="D38" s="13"/>
      <c r="E38" s="13"/>
      <c r="F38" s="12" t="s">
        <v>81</v>
      </c>
      <c r="G38" s="12" t="s">
        <v>123</v>
      </c>
      <c r="H38" s="12" t="s">
        <v>1504</v>
      </c>
      <c r="I38" s="15" t="s">
        <v>1505</v>
      </c>
    </row>
    <row r="39" customFormat="false" ht="23.85" hidden="false" customHeight="false" outlineLevel="0" collapsed="false">
      <c r="A39" s="12" t="s">
        <v>112</v>
      </c>
      <c r="B39" s="13" t="s">
        <v>1519</v>
      </c>
      <c r="C39" s="13" t="s">
        <v>1186</v>
      </c>
      <c r="D39" s="13"/>
      <c r="E39" s="13" t="s">
        <v>1186</v>
      </c>
      <c r="F39" s="12" t="s">
        <v>1499</v>
      </c>
      <c r="G39" s="12" t="s">
        <v>170</v>
      </c>
      <c r="H39" s="12" t="s">
        <v>1494</v>
      </c>
      <c r="I39" s="15" t="s">
        <v>1495</v>
      </c>
    </row>
    <row r="40" customFormat="false" ht="23.85" hidden="false" customHeight="false" outlineLevel="0" collapsed="false">
      <c r="A40" s="12" t="s">
        <v>112</v>
      </c>
      <c r="B40" s="13" t="s">
        <v>1520</v>
      </c>
      <c r="C40" s="13" t="n">
        <v>4</v>
      </c>
      <c r="D40" s="13"/>
      <c r="E40" s="13"/>
      <c r="F40" s="12" t="s">
        <v>81</v>
      </c>
      <c r="G40" s="12" t="s">
        <v>123</v>
      </c>
      <c r="H40" s="12" t="s">
        <v>1504</v>
      </c>
      <c r="I40" s="15" t="s">
        <v>1505</v>
      </c>
    </row>
    <row r="41" customFormat="false" ht="23.85" hidden="false" customHeight="false" outlineLevel="0" collapsed="false">
      <c r="A41" s="12" t="s">
        <v>112</v>
      </c>
      <c r="B41" s="13" t="s">
        <v>367</v>
      </c>
      <c r="C41" s="13" t="n">
        <v>16</v>
      </c>
      <c r="D41" s="13"/>
      <c r="E41" s="13"/>
      <c r="F41" s="12" t="s">
        <v>81</v>
      </c>
      <c r="G41" s="12" t="s">
        <v>123</v>
      </c>
      <c r="H41" s="12" t="s">
        <v>1504</v>
      </c>
      <c r="I41" s="15" t="s">
        <v>1505</v>
      </c>
    </row>
    <row r="42" customFormat="false" ht="23.85" hidden="false" customHeight="false" outlineLevel="0" collapsed="false">
      <c r="A42" s="12" t="s">
        <v>112</v>
      </c>
      <c r="B42" s="13" t="s">
        <v>367</v>
      </c>
      <c r="C42" s="13" t="s">
        <v>1186</v>
      </c>
      <c r="D42" s="13"/>
      <c r="E42" s="13"/>
      <c r="F42" s="12" t="s">
        <v>81</v>
      </c>
      <c r="G42" s="12" t="s">
        <v>170</v>
      </c>
      <c r="H42" s="12" t="s">
        <v>1494</v>
      </c>
      <c r="I42" s="15" t="s">
        <v>1495</v>
      </c>
    </row>
    <row r="43" customFormat="false" ht="23.85" hidden="false" customHeight="false" outlineLevel="0" collapsed="false">
      <c r="A43" s="12" t="s">
        <v>112</v>
      </c>
      <c r="B43" s="13" t="s">
        <v>1521</v>
      </c>
      <c r="C43" s="13" t="n">
        <v>2</v>
      </c>
      <c r="D43" s="13"/>
      <c r="E43" s="13"/>
      <c r="F43" s="12" t="s">
        <v>81</v>
      </c>
      <c r="G43" s="12" t="s">
        <v>123</v>
      </c>
      <c r="H43" s="12" t="s">
        <v>1504</v>
      </c>
      <c r="I43" s="15" t="s">
        <v>1505</v>
      </c>
    </row>
    <row r="44" customFormat="false" ht="23.85" hidden="false" customHeight="false" outlineLevel="0" collapsed="false">
      <c r="A44" s="12" t="s">
        <v>112</v>
      </c>
      <c r="B44" s="13" t="s">
        <v>1522</v>
      </c>
      <c r="C44" s="13" t="n">
        <v>2</v>
      </c>
      <c r="D44" s="13"/>
      <c r="E44" s="13"/>
      <c r="F44" s="12" t="s">
        <v>81</v>
      </c>
      <c r="G44" s="12" t="s">
        <v>123</v>
      </c>
      <c r="H44" s="12" t="s">
        <v>1504</v>
      </c>
      <c r="I44" s="15" t="s">
        <v>1505</v>
      </c>
    </row>
    <row r="45" customFormat="false" ht="23.85" hidden="false" customHeight="false" outlineLevel="0" collapsed="false">
      <c r="A45" s="12" t="s">
        <v>112</v>
      </c>
      <c r="B45" s="13" t="s">
        <v>377</v>
      </c>
      <c r="C45" s="13" t="n">
        <v>38</v>
      </c>
      <c r="D45" s="13"/>
      <c r="E45" s="13" t="n">
        <v>2</v>
      </c>
      <c r="F45" s="12" t="s">
        <v>81</v>
      </c>
      <c r="G45" s="12" t="s">
        <v>123</v>
      </c>
      <c r="H45" s="12" t="s">
        <v>1504</v>
      </c>
      <c r="I45" s="15" t="s">
        <v>1505</v>
      </c>
    </row>
    <row r="46" customFormat="false" ht="23.85" hidden="false" customHeight="false" outlineLevel="0" collapsed="false">
      <c r="A46" s="12" t="s">
        <v>112</v>
      </c>
      <c r="B46" s="13" t="s">
        <v>377</v>
      </c>
      <c r="C46" s="13" t="s">
        <v>1186</v>
      </c>
      <c r="D46" s="13"/>
      <c r="E46" s="13"/>
      <c r="F46" s="12" t="s">
        <v>81</v>
      </c>
      <c r="G46" s="12" t="s">
        <v>170</v>
      </c>
      <c r="H46" s="12" t="s">
        <v>1494</v>
      </c>
      <c r="I46" s="15" t="s">
        <v>1495</v>
      </c>
    </row>
    <row r="47" customFormat="false" ht="23.85" hidden="false" customHeight="false" outlineLevel="0" collapsed="false">
      <c r="A47" s="12" t="s">
        <v>112</v>
      </c>
      <c r="B47" s="13" t="s">
        <v>1523</v>
      </c>
      <c r="C47" s="13" t="n">
        <v>8</v>
      </c>
      <c r="D47" s="13"/>
      <c r="E47" s="13"/>
      <c r="F47" s="12" t="s">
        <v>81</v>
      </c>
      <c r="G47" s="12" t="s">
        <v>123</v>
      </c>
      <c r="H47" s="12" t="s">
        <v>1504</v>
      </c>
      <c r="I47" s="15" t="s">
        <v>1505</v>
      </c>
    </row>
    <row r="48" customFormat="false" ht="23.85" hidden="false" customHeight="false" outlineLevel="0" collapsed="false">
      <c r="A48" s="12" t="s">
        <v>112</v>
      </c>
      <c r="B48" s="13" t="s">
        <v>1523</v>
      </c>
      <c r="C48" s="13" t="s">
        <v>1186</v>
      </c>
      <c r="D48" s="13"/>
      <c r="E48" s="13"/>
      <c r="F48" s="12" t="s">
        <v>81</v>
      </c>
      <c r="G48" s="12" t="s">
        <v>170</v>
      </c>
      <c r="H48" s="12" t="s">
        <v>1494</v>
      </c>
      <c r="I48" s="15" t="s">
        <v>1495</v>
      </c>
    </row>
    <row r="49" customFormat="false" ht="23.85" hidden="false" customHeight="false" outlineLevel="0" collapsed="false">
      <c r="A49" s="12" t="s">
        <v>112</v>
      </c>
      <c r="B49" s="13" t="s">
        <v>1524</v>
      </c>
      <c r="C49" s="13" t="n">
        <v>3</v>
      </c>
      <c r="D49" s="13"/>
      <c r="E49" s="13"/>
      <c r="F49" s="12" t="s">
        <v>81</v>
      </c>
      <c r="G49" s="12" t="s">
        <v>123</v>
      </c>
      <c r="H49" s="12" t="s">
        <v>1504</v>
      </c>
      <c r="I49" s="15" t="s">
        <v>1505</v>
      </c>
    </row>
    <row r="50" customFormat="false" ht="23.85" hidden="false" customHeight="false" outlineLevel="0" collapsed="false">
      <c r="A50" s="12" t="s">
        <v>112</v>
      </c>
      <c r="B50" s="13" t="s">
        <v>1524</v>
      </c>
      <c r="C50" s="13" t="s">
        <v>1186</v>
      </c>
      <c r="D50" s="13"/>
      <c r="E50" s="13" t="s">
        <v>1186</v>
      </c>
      <c r="F50" s="12" t="s">
        <v>1499</v>
      </c>
      <c r="G50" s="12" t="s">
        <v>170</v>
      </c>
      <c r="H50" s="12" t="s">
        <v>1494</v>
      </c>
      <c r="I50" s="15" t="s">
        <v>1495</v>
      </c>
    </row>
    <row r="51" customFormat="false" ht="23.85" hidden="false" customHeight="false" outlineLevel="0" collapsed="false">
      <c r="A51" s="12" t="s">
        <v>112</v>
      </c>
      <c r="B51" s="13" t="s">
        <v>1525</v>
      </c>
      <c r="C51" s="13" t="n">
        <v>6</v>
      </c>
      <c r="D51" s="13"/>
      <c r="E51" s="13"/>
      <c r="F51" s="12" t="s">
        <v>81</v>
      </c>
      <c r="G51" s="12" t="s">
        <v>123</v>
      </c>
      <c r="H51" s="12" t="s">
        <v>1504</v>
      </c>
      <c r="I51" s="15" t="s">
        <v>1505</v>
      </c>
    </row>
    <row r="52" customFormat="false" ht="23.85" hidden="false" customHeight="false" outlineLevel="0" collapsed="false">
      <c r="A52" s="12" t="s">
        <v>112</v>
      </c>
      <c r="B52" s="13" t="s">
        <v>305</v>
      </c>
      <c r="C52" s="13" t="n">
        <v>9</v>
      </c>
      <c r="D52" s="13"/>
      <c r="E52" s="13"/>
      <c r="F52" s="12" t="s">
        <v>81</v>
      </c>
      <c r="G52" s="12" t="s">
        <v>123</v>
      </c>
      <c r="H52" s="12" t="s">
        <v>1504</v>
      </c>
      <c r="I52" s="15" t="s">
        <v>1505</v>
      </c>
    </row>
    <row r="53" customFormat="false" ht="23.85" hidden="false" customHeight="false" outlineLevel="0" collapsed="false">
      <c r="A53" s="12" t="s">
        <v>112</v>
      </c>
      <c r="B53" s="13" t="s">
        <v>305</v>
      </c>
      <c r="C53" s="13" t="s">
        <v>1186</v>
      </c>
      <c r="D53" s="13"/>
      <c r="E53" s="13"/>
      <c r="F53" s="12" t="s">
        <v>81</v>
      </c>
      <c r="G53" s="12" t="s">
        <v>170</v>
      </c>
      <c r="H53" s="12" t="s">
        <v>1494</v>
      </c>
      <c r="I53" s="15" t="s">
        <v>1495</v>
      </c>
    </row>
    <row r="54" customFormat="false" ht="23.85" hidden="false" customHeight="false" outlineLevel="0" collapsed="false">
      <c r="A54" s="12" t="s">
        <v>112</v>
      </c>
      <c r="B54" s="13" t="s">
        <v>381</v>
      </c>
      <c r="C54" s="13" t="n">
        <v>6</v>
      </c>
      <c r="D54" s="13"/>
      <c r="E54" s="13"/>
      <c r="F54" s="12" t="s">
        <v>81</v>
      </c>
      <c r="G54" s="12" t="s">
        <v>123</v>
      </c>
      <c r="H54" s="12" t="s">
        <v>1504</v>
      </c>
      <c r="I54" s="15" t="s">
        <v>1505</v>
      </c>
    </row>
    <row r="55" customFormat="false" ht="23.85" hidden="false" customHeight="false" outlineLevel="0" collapsed="false">
      <c r="A55" s="12" t="s">
        <v>112</v>
      </c>
      <c r="B55" s="13" t="s">
        <v>381</v>
      </c>
      <c r="C55" s="13" t="s">
        <v>1186</v>
      </c>
      <c r="D55" s="13"/>
      <c r="E55" s="13"/>
      <c r="F55" s="12" t="s">
        <v>81</v>
      </c>
      <c r="G55" s="12" t="s">
        <v>170</v>
      </c>
      <c r="H55" s="12" t="s">
        <v>1494</v>
      </c>
      <c r="I55" s="15" t="s">
        <v>1495</v>
      </c>
    </row>
    <row r="56" customFormat="false" ht="23.85" hidden="false" customHeight="false" outlineLevel="0" collapsed="false">
      <c r="A56" s="12" t="s">
        <v>112</v>
      </c>
      <c r="B56" s="13" t="s">
        <v>1526</v>
      </c>
      <c r="C56" s="13" t="n">
        <v>7</v>
      </c>
      <c r="D56" s="13"/>
      <c r="E56" s="13"/>
      <c r="F56" s="12" t="s">
        <v>81</v>
      </c>
      <c r="G56" s="12" t="s">
        <v>123</v>
      </c>
      <c r="H56" s="12" t="s">
        <v>1504</v>
      </c>
      <c r="I56" s="15" t="s">
        <v>1505</v>
      </c>
    </row>
    <row r="57" customFormat="false" ht="23.85" hidden="false" customHeight="false" outlineLevel="0" collapsed="false">
      <c r="A57" s="12" t="s">
        <v>112</v>
      </c>
      <c r="B57" s="13" t="s">
        <v>316</v>
      </c>
      <c r="C57" s="13" t="n">
        <v>43</v>
      </c>
      <c r="D57" s="13" t="n">
        <v>1</v>
      </c>
      <c r="E57" s="13" t="n">
        <v>1</v>
      </c>
      <c r="F57" s="12" t="s">
        <v>81</v>
      </c>
      <c r="G57" s="12" t="s">
        <v>123</v>
      </c>
      <c r="H57" s="12" t="s">
        <v>1504</v>
      </c>
      <c r="I57" s="15" t="s">
        <v>1505</v>
      </c>
    </row>
    <row r="58" customFormat="false" ht="23.85" hidden="false" customHeight="false" outlineLevel="0" collapsed="false">
      <c r="A58" s="12" t="s">
        <v>112</v>
      </c>
      <c r="B58" s="13" t="s">
        <v>316</v>
      </c>
      <c r="C58" s="13" t="s">
        <v>1186</v>
      </c>
      <c r="D58" s="13"/>
      <c r="E58" s="13"/>
      <c r="F58" s="12" t="s">
        <v>81</v>
      </c>
      <c r="G58" s="12" t="s">
        <v>170</v>
      </c>
      <c r="H58" s="12" t="s">
        <v>1494</v>
      </c>
      <c r="I58" s="15" t="s">
        <v>1495</v>
      </c>
    </row>
    <row r="59" customFormat="false" ht="23.85" hidden="false" customHeight="false" outlineLevel="0" collapsed="false">
      <c r="A59" s="12" t="s">
        <v>112</v>
      </c>
      <c r="B59" s="13" t="s">
        <v>1527</v>
      </c>
      <c r="C59" s="13" t="n">
        <v>3</v>
      </c>
      <c r="D59" s="13"/>
      <c r="E59" s="13"/>
      <c r="F59" s="12" t="s">
        <v>81</v>
      </c>
      <c r="G59" s="12" t="s">
        <v>123</v>
      </c>
      <c r="H59" s="12" t="s">
        <v>1504</v>
      </c>
      <c r="I59" s="15" t="s">
        <v>1505</v>
      </c>
    </row>
    <row r="60" customFormat="false" ht="23.85" hidden="false" customHeight="false" outlineLevel="0" collapsed="false">
      <c r="A60" s="12" t="s">
        <v>112</v>
      </c>
      <c r="B60" s="13" t="s">
        <v>1528</v>
      </c>
      <c r="C60" s="13" t="n">
        <v>4</v>
      </c>
      <c r="D60" s="13" t="n">
        <v>2</v>
      </c>
      <c r="E60" s="13" t="n">
        <v>1</v>
      </c>
      <c r="F60" s="12" t="s">
        <v>81</v>
      </c>
      <c r="G60" s="12" t="s">
        <v>123</v>
      </c>
      <c r="H60" s="12" t="s">
        <v>1504</v>
      </c>
      <c r="I60" s="15" t="s">
        <v>1505</v>
      </c>
    </row>
    <row r="61" customFormat="false" ht="23.85" hidden="false" customHeight="false" outlineLevel="0" collapsed="false">
      <c r="A61" s="12" t="s">
        <v>112</v>
      </c>
      <c r="B61" s="13" t="s">
        <v>1528</v>
      </c>
      <c r="C61" s="13" t="s">
        <v>1186</v>
      </c>
      <c r="D61" s="13"/>
      <c r="E61" s="13" t="s">
        <v>1186</v>
      </c>
      <c r="F61" s="12" t="s">
        <v>1499</v>
      </c>
      <c r="G61" s="12" t="s">
        <v>170</v>
      </c>
      <c r="H61" s="12" t="s">
        <v>1494</v>
      </c>
      <c r="I61" s="15" t="s">
        <v>1495</v>
      </c>
    </row>
    <row r="62" customFormat="false" ht="23.85" hidden="false" customHeight="false" outlineLevel="0" collapsed="false">
      <c r="A62" s="12" t="s">
        <v>112</v>
      </c>
      <c r="B62" s="13" t="s">
        <v>1529</v>
      </c>
      <c r="C62" s="13" t="n">
        <v>15</v>
      </c>
      <c r="D62" s="13" t="n">
        <v>1</v>
      </c>
      <c r="E62" s="13"/>
      <c r="F62" s="12" t="s">
        <v>81</v>
      </c>
      <c r="G62" s="12" t="s">
        <v>123</v>
      </c>
      <c r="H62" s="12" t="s">
        <v>1504</v>
      </c>
      <c r="I62" s="15" t="s">
        <v>1505</v>
      </c>
    </row>
    <row r="63" customFormat="false" ht="23.85" hidden="false" customHeight="false" outlineLevel="0" collapsed="false">
      <c r="A63" s="12" t="s">
        <v>112</v>
      </c>
      <c r="B63" s="13" t="s">
        <v>1529</v>
      </c>
      <c r="C63" s="13" t="s">
        <v>1186</v>
      </c>
      <c r="D63" s="13"/>
      <c r="E63" s="13"/>
      <c r="F63" s="12" t="s">
        <v>81</v>
      </c>
      <c r="G63" s="12" t="s">
        <v>170</v>
      </c>
      <c r="H63" s="12" t="s">
        <v>1494</v>
      </c>
      <c r="I63" s="15" t="s">
        <v>1495</v>
      </c>
    </row>
    <row r="64" customFormat="false" ht="23.85" hidden="false" customHeight="false" outlineLevel="0" collapsed="false">
      <c r="A64" s="12" t="s">
        <v>112</v>
      </c>
      <c r="B64" s="13" t="s">
        <v>1530</v>
      </c>
      <c r="C64" s="13" t="n">
        <v>4</v>
      </c>
      <c r="D64" s="13"/>
      <c r="E64" s="13"/>
      <c r="F64" s="12" t="s">
        <v>81</v>
      </c>
      <c r="G64" s="12" t="s">
        <v>123</v>
      </c>
      <c r="H64" s="12" t="s">
        <v>1504</v>
      </c>
      <c r="I64" s="15" t="s">
        <v>1505</v>
      </c>
    </row>
    <row r="65" customFormat="false" ht="23.85" hidden="false" customHeight="false" outlineLevel="0" collapsed="false">
      <c r="A65" s="12" t="s">
        <v>1531</v>
      </c>
      <c r="B65" s="13" t="s">
        <v>1503</v>
      </c>
      <c r="C65" s="13"/>
      <c r="D65" s="13" t="s">
        <v>1186</v>
      </c>
      <c r="E65" s="13"/>
      <c r="F65" s="12" t="s">
        <v>82</v>
      </c>
      <c r="G65" s="12" t="s">
        <v>170</v>
      </c>
      <c r="H65" s="12" t="s">
        <v>1494</v>
      </c>
      <c r="I65" s="15" t="s">
        <v>1495</v>
      </c>
    </row>
    <row r="66" customFormat="false" ht="23.85" hidden="false" customHeight="false" outlineLevel="0" collapsed="false">
      <c r="A66" s="12" t="s">
        <v>1531</v>
      </c>
      <c r="B66" s="13" t="s">
        <v>249</v>
      </c>
      <c r="C66" s="13"/>
      <c r="D66" s="13" t="s">
        <v>1186</v>
      </c>
      <c r="E66" s="13"/>
      <c r="F66" s="12" t="s">
        <v>82</v>
      </c>
      <c r="G66" s="12" t="s">
        <v>170</v>
      </c>
      <c r="H66" s="12" t="s">
        <v>1494</v>
      </c>
      <c r="I66" s="15" t="s">
        <v>1495</v>
      </c>
    </row>
    <row r="67" customFormat="false" ht="23.85" hidden="false" customHeight="false" outlineLevel="0" collapsed="false">
      <c r="A67" s="12" t="s">
        <v>1531</v>
      </c>
      <c r="B67" s="13" t="s">
        <v>1508</v>
      </c>
      <c r="C67" s="13"/>
      <c r="D67" s="13" t="s">
        <v>1186</v>
      </c>
      <c r="E67" s="13"/>
      <c r="F67" s="12" t="s">
        <v>82</v>
      </c>
      <c r="G67" s="12" t="s">
        <v>170</v>
      </c>
      <c r="H67" s="12" t="s">
        <v>1494</v>
      </c>
      <c r="I67" s="15" t="s">
        <v>1495</v>
      </c>
    </row>
    <row r="68" customFormat="false" ht="23.85" hidden="false" customHeight="false" outlineLevel="0" collapsed="false">
      <c r="A68" s="12" t="s">
        <v>1531</v>
      </c>
      <c r="B68" s="13" t="s">
        <v>256</v>
      </c>
      <c r="C68" s="13"/>
      <c r="D68" s="13" t="s">
        <v>1186</v>
      </c>
      <c r="E68" s="13"/>
      <c r="F68" s="12" t="s">
        <v>82</v>
      </c>
      <c r="G68" s="12" t="s">
        <v>170</v>
      </c>
      <c r="H68" s="12" t="s">
        <v>1494</v>
      </c>
      <c r="I68" s="15" t="s">
        <v>1495</v>
      </c>
    </row>
    <row r="69" customFormat="false" ht="23.85" hidden="false" customHeight="false" outlineLevel="0" collapsed="false">
      <c r="A69" s="12" t="s">
        <v>1531</v>
      </c>
      <c r="B69" s="13" t="s">
        <v>1512</v>
      </c>
      <c r="C69" s="13"/>
      <c r="D69" s="13" t="s">
        <v>1186</v>
      </c>
      <c r="E69" s="13"/>
      <c r="F69" s="12" t="s">
        <v>82</v>
      </c>
      <c r="G69" s="12" t="s">
        <v>170</v>
      </c>
      <c r="H69" s="12" t="s">
        <v>1494</v>
      </c>
      <c r="I69" s="15" t="s">
        <v>1495</v>
      </c>
    </row>
    <row r="70" customFormat="false" ht="23.85" hidden="false" customHeight="false" outlineLevel="0" collapsed="false">
      <c r="A70" s="12" t="s">
        <v>1531</v>
      </c>
      <c r="B70" s="13" t="s">
        <v>442</v>
      </c>
      <c r="C70" s="13"/>
      <c r="D70" s="13" t="s">
        <v>1186</v>
      </c>
      <c r="E70" s="13"/>
      <c r="F70" s="12" t="s">
        <v>82</v>
      </c>
      <c r="G70" s="12" t="s">
        <v>170</v>
      </c>
      <c r="H70" s="12" t="s">
        <v>1494</v>
      </c>
      <c r="I70" s="15" t="s">
        <v>1495</v>
      </c>
    </row>
    <row r="71" customFormat="false" ht="23.85" hidden="false" customHeight="false" outlineLevel="0" collapsed="false">
      <c r="A71" s="12" t="s">
        <v>1531</v>
      </c>
      <c r="B71" s="13" t="s">
        <v>1514</v>
      </c>
      <c r="C71" s="13"/>
      <c r="D71" s="13" t="s">
        <v>1186</v>
      </c>
      <c r="E71" s="13"/>
      <c r="F71" s="12" t="s">
        <v>82</v>
      </c>
      <c r="G71" s="12" t="s">
        <v>170</v>
      </c>
      <c r="H71" s="12" t="s">
        <v>1494</v>
      </c>
      <c r="I71" s="15" t="s">
        <v>1495</v>
      </c>
    </row>
    <row r="72" customFormat="false" ht="23.85" hidden="false" customHeight="false" outlineLevel="0" collapsed="false">
      <c r="A72" s="12" t="s">
        <v>1531</v>
      </c>
      <c r="B72" s="13" t="s">
        <v>367</v>
      </c>
      <c r="C72" s="13"/>
      <c r="D72" s="13" t="s">
        <v>1186</v>
      </c>
      <c r="E72" s="13"/>
      <c r="F72" s="12" t="s">
        <v>82</v>
      </c>
      <c r="G72" s="12" t="s">
        <v>170</v>
      </c>
      <c r="H72" s="12" t="s">
        <v>1494</v>
      </c>
      <c r="I72" s="15" t="s">
        <v>1495</v>
      </c>
    </row>
    <row r="73" customFormat="false" ht="23.85" hidden="false" customHeight="false" outlineLevel="0" collapsed="false">
      <c r="A73" s="12" t="s">
        <v>1531</v>
      </c>
      <c r="B73" s="13" t="s">
        <v>1522</v>
      </c>
      <c r="C73" s="13"/>
      <c r="D73" s="13" t="s">
        <v>1186</v>
      </c>
      <c r="E73" s="13"/>
      <c r="F73" s="12" t="s">
        <v>82</v>
      </c>
      <c r="G73" s="12" t="s">
        <v>170</v>
      </c>
      <c r="H73" s="12" t="s">
        <v>1494</v>
      </c>
      <c r="I73" s="15" t="s">
        <v>1495</v>
      </c>
    </row>
    <row r="74" customFormat="false" ht="23.85" hidden="false" customHeight="false" outlineLevel="0" collapsed="false">
      <c r="A74" s="12" t="s">
        <v>1531</v>
      </c>
      <c r="B74" s="13" t="s">
        <v>377</v>
      </c>
      <c r="C74" s="13"/>
      <c r="D74" s="13" t="s">
        <v>1186</v>
      </c>
      <c r="E74" s="13"/>
      <c r="F74" s="12" t="s">
        <v>82</v>
      </c>
      <c r="G74" s="12" t="s">
        <v>170</v>
      </c>
      <c r="H74" s="12" t="s">
        <v>1494</v>
      </c>
      <c r="I74" s="15" t="s">
        <v>1495</v>
      </c>
    </row>
    <row r="75" customFormat="false" ht="23.85" hidden="false" customHeight="false" outlineLevel="0" collapsed="false">
      <c r="A75" s="12" t="s">
        <v>1531</v>
      </c>
      <c r="B75" s="13" t="s">
        <v>305</v>
      </c>
      <c r="C75" s="13"/>
      <c r="D75" s="13" t="s">
        <v>1186</v>
      </c>
      <c r="E75" s="13"/>
      <c r="F75" s="12" t="s">
        <v>82</v>
      </c>
      <c r="G75" s="12" t="s">
        <v>170</v>
      </c>
      <c r="H75" s="12" t="s">
        <v>1494</v>
      </c>
      <c r="I75" s="15" t="s">
        <v>1495</v>
      </c>
    </row>
    <row r="76" customFormat="false" ht="23.85" hidden="false" customHeight="false" outlineLevel="0" collapsed="false">
      <c r="A76" s="12" t="s">
        <v>1531</v>
      </c>
      <c r="B76" s="13" t="s">
        <v>381</v>
      </c>
      <c r="C76" s="13"/>
      <c r="D76" s="13" t="s">
        <v>1186</v>
      </c>
      <c r="E76" s="13"/>
      <c r="F76" s="12" t="s">
        <v>82</v>
      </c>
      <c r="G76" s="12" t="s">
        <v>170</v>
      </c>
      <c r="H76" s="12" t="s">
        <v>1494</v>
      </c>
      <c r="I76" s="15" t="s">
        <v>1495</v>
      </c>
    </row>
    <row r="77" customFormat="false" ht="23.85" hidden="false" customHeight="false" outlineLevel="0" collapsed="false">
      <c r="A77" s="12" t="s">
        <v>1532</v>
      </c>
      <c r="B77" s="13" t="s">
        <v>445</v>
      </c>
      <c r="C77" s="13"/>
      <c r="D77" s="13"/>
      <c r="E77" s="13" t="s">
        <v>1186</v>
      </c>
      <c r="F77" s="12" t="s">
        <v>83</v>
      </c>
      <c r="G77" s="12" t="s">
        <v>170</v>
      </c>
      <c r="H77" s="12" t="s">
        <v>1494</v>
      </c>
      <c r="I77" s="15" t="s">
        <v>1495</v>
      </c>
    </row>
    <row r="78" customFormat="false" ht="23.85" hidden="false" customHeight="false" outlineLevel="0" collapsed="false">
      <c r="A78" s="12" t="s">
        <v>1533</v>
      </c>
      <c r="B78" s="13" t="s">
        <v>305</v>
      </c>
      <c r="C78" s="13" t="s">
        <v>1186</v>
      </c>
      <c r="D78" s="13"/>
      <c r="E78" s="13"/>
      <c r="F78" s="12" t="s">
        <v>81</v>
      </c>
      <c r="G78" s="12" t="s">
        <v>170</v>
      </c>
      <c r="H78" s="12" t="s">
        <v>1494</v>
      </c>
      <c r="I78" s="15" t="s">
        <v>1495</v>
      </c>
    </row>
    <row r="79" customFormat="false" ht="23.85" hidden="false" customHeight="false" outlineLevel="0" collapsed="false">
      <c r="A79" s="12" t="s">
        <v>1534</v>
      </c>
      <c r="B79" s="13" t="s">
        <v>445</v>
      </c>
      <c r="C79" s="13"/>
      <c r="D79" s="13"/>
      <c r="E79" s="13" t="s">
        <v>1186</v>
      </c>
      <c r="F79" s="12" t="s">
        <v>83</v>
      </c>
      <c r="G79" s="12" t="s">
        <v>170</v>
      </c>
      <c r="H79" s="12" t="s">
        <v>1494</v>
      </c>
      <c r="I79" s="15" t="s">
        <v>1495</v>
      </c>
    </row>
    <row r="80" customFormat="false" ht="23.85" hidden="false" customHeight="false" outlineLevel="0" collapsed="false">
      <c r="A80" s="12" t="s">
        <v>1535</v>
      </c>
      <c r="B80" s="13" t="s">
        <v>249</v>
      </c>
      <c r="C80" s="13"/>
      <c r="D80" s="13"/>
      <c r="E80" s="13" t="s">
        <v>1186</v>
      </c>
      <c r="F80" s="12" t="s">
        <v>83</v>
      </c>
      <c r="G80" s="12" t="s">
        <v>170</v>
      </c>
      <c r="H80" s="12" t="s">
        <v>1494</v>
      </c>
      <c r="I80" s="15" t="s">
        <v>1495</v>
      </c>
    </row>
    <row r="81" customFormat="false" ht="23.85" hidden="false" customHeight="false" outlineLevel="0" collapsed="false">
      <c r="A81" s="12" t="s">
        <v>135</v>
      </c>
      <c r="B81" s="13" t="s">
        <v>1536</v>
      </c>
      <c r="C81" s="13" t="n">
        <v>1</v>
      </c>
      <c r="D81" s="13"/>
      <c r="E81" s="13"/>
      <c r="F81" s="12" t="s">
        <v>81</v>
      </c>
      <c r="G81" s="12" t="s">
        <v>145</v>
      </c>
      <c r="H81" s="12" t="s">
        <v>1537</v>
      </c>
      <c r="I81" s="15" t="s">
        <v>1538</v>
      </c>
    </row>
    <row r="82" customFormat="false" ht="23.85" hidden="false" customHeight="false" outlineLevel="0" collapsed="false">
      <c r="A82" s="12" t="s">
        <v>135</v>
      </c>
      <c r="B82" s="13" t="s">
        <v>1503</v>
      </c>
      <c r="C82" s="13" t="n">
        <v>2</v>
      </c>
      <c r="D82" s="13"/>
      <c r="E82" s="13"/>
      <c r="F82" s="12" t="s">
        <v>81</v>
      </c>
      <c r="G82" s="12" t="s">
        <v>145</v>
      </c>
      <c r="H82" s="12" t="s">
        <v>1537</v>
      </c>
      <c r="I82" s="15" t="s">
        <v>1538</v>
      </c>
    </row>
    <row r="83" customFormat="false" ht="23.85" hidden="false" customHeight="false" outlineLevel="0" collapsed="false">
      <c r="A83" s="12" t="s">
        <v>135</v>
      </c>
      <c r="B83" s="13" t="s">
        <v>1503</v>
      </c>
      <c r="C83" s="13"/>
      <c r="D83" s="13"/>
      <c r="E83" s="13" t="s">
        <v>1186</v>
      </c>
      <c r="F83" s="12" t="s">
        <v>83</v>
      </c>
      <c r="G83" s="12" t="s">
        <v>1539</v>
      </c>
      <c r="H83" s="12" t="s">
        <v>1540</v>
      </c>
      <c r="I83" s="15" t="s">
        <v>1541</v>
      </c>
    </row>
    <row r="84" customFormat="false" ht="23.85" hidden="false" customHeight="false" outlineLevel="0" collapsed="false">
      <c r="A84" s="12" t="s">
        <v>135</v>
      </c>
      <c r="B84" s="13" t="s">
        <v>1506</v>
      </c>
      <c r="C84" s="13" t="n">
        <v>2</v>
      </c>
      <c r="D84" s="13"/>
      <c r="E84" s="13"/>
      <c r="F84" s="12" t="s">
        <v>81</v>
      </c>
      <c r="G84" s="12" t="s">
        <v>145</v>
      </c>
      <c r="H84" s="12" t="s">
        <v>1537</v>
      </c>
      <c r="I84" s="15" t="s">
        <v>1538</v>
      </c>
    </row>
    <row r="85" customFormat="false" ht="23.85" hidden="false" customHeight="false" outlineLevel="0" collapsed="false">
      <c r="A85" s="12" t="s">
        <v>135</v>
      </c>
      <c r="B85" s="13" t="s">
        <v>1506</v>
      </c>
      <c r="C85" s="13" t="s">
        <v>1186</v>
      </c>
      <c r="D85" s="13"/>
      <c r="E85" s="13"/>
      <c r="F85" s="12" t="s">
        <v>81</v>
      </c>
      <c r="G85" s="12" t="s">
        <v>1539</v>
      </c>
      <c r="H85" s="12" t="s">
        <v>1540</v>
      </c>
      <c r="I85" s="15" t="s">
        <v>1541</v>
      </c>
    </row>
    <row r="86" customFormat="false" ht="23.85" hidden="false" customHeight="false" outlineLevel="0" collapsed="false">
      <c r="A86" s="12" t="s">
        <v>135</v>
      </c>
      <c r="B86" s="13" t="s">
        <v>1507</v>
      </c>
      <c r="C86" s="13"/>
      <c r="D86" s="13" t="n">
        <v>1</v>
      </c>
      <c r="E86" s="13" t="n">
        <v>1</v>
      </c>
      <c r="F86" s="12" t="s">
        <v>1542</v>
      </c>
      <c r="G86" s="12" t="s">
        <v>145</v>
      </c>
      <c r="H86" s="12" t="s">
        <v>1537</v>
      </c>
      <c r="I86" s="15" t="s">
        <v>1538</v>
      </c>
    </row>
    <row r="87" customFormat="false" ht="23.85" hidden="false" customHeight="false" outlineLevel="0" collapsed="false">
      <c r="A87" s="12" t="s">
        <v>135</v>
      </c>
      <c r="B87" s="13" t="s">
        <v>1507</v>
      </c>
      <c r="C87" s="13" t="s">
        <v>1186</v>
      </c>
      <c r="D87" s="13"/>
      <c r="E87" s="13"/>
      <c r="F87" s="12" t="s">
        <v>81</v>
      </c>
      <c r="G87" s="12" t="s">
        <v>1539</v>
      </c>
      <c r="H87" s="12" t="s">
        <v>1540</v>
      </c>
      <c r="I87" s="15" t="s">
        <v>1541</v>
      </c>
    </row>
    <row r="88" customFormat="false" ht="23.85" hidden="false" customHeight="false" outlineLevel="0" collapsed="false">
      <c r="A88" s="12" t="s">
        <v>135</v>
      </c>
      <c r="B88" s="13" t="s">
        <v>249</v>
      </c>
      <c r="C88" s="13" t="n">
        <v>15</v>
      </c>
      <c r="D88" s="13" t="n">
        <v>4</v>
      </c>
      <c r="E88" s="13" t="n">
        <v>6</v>
      </c>
      <c r="F88" s="12" t="s">
        <v>81</v>
      </c>
      <c r="G88" s="12" t="s">
        <v>145</v>
      </c>
      <c r="H88" s="12" t="s">
        <v>1537</v>
      </c>
      <c r="I88" s="15" t="s">
        <v>1538</v>
      </c>
    </row>
    <row r="89" customFormat="false" ht="23.85" hidden="false" customHeight="false" outlineLevel="0" collapsed="false">
      <c r="A89" s="12" t="s">
        <v>135</v>
      </c>
      <c r="B89" s="13" t="s">
        <v>249</v>
      </c>
      <c r="C89" s="13" t="s">
        <v>1186</v>
      </c>
      <c r="D89" s="13" t="s">
        <v>1186</v>
      </c>
      <c r="E89" s="13" t="s">
        <v>1186</v>
      </c>
      <c r="F89" s="12" t="s">
        <v>81</v>
      </c>
      <c r="G89" s="12" t="s">
        <v>1539</v>
      </c>
      <c r="H89" s="12" t="s">
        <v>1540</v>
      </c>
      <c r="I89" s="15" t="s">
        <v>1541</v>
      </c>
    </row>
    <row r="90" customFormat="false" ht="23.85" hidden="false" customHeight="false" outlineLevel="0" collapsed="false">
      <c r="A90" s="12" t="s">
        <v>135</v>
      </c>
      <c r="B90" s="13" t="s">
        <v>249</v>
      </c>
      <c r="C90" s="13" t="s">
        <v>1186</v>
      </c>
      <c r="D90" s="13"/>
      <c r="E90" s="13"/>
      <c r="F90" s="12" t="s">
        <v>81</v>
      </c>
      <c r="G90" s="12" t="s">
        <v>170</v>
      </c>
      <c r="H90" s="12" t="s">
        <v>1494</v>
      </c>
      <c r="I90" s="15" t="s">
        <v>1495</v>
      </c>
    </row>
    <row r="91" customFormat="false" ht="23.85" hidden="false" customHeight="false" outlineLevel="0" collapsed="false">
      <c r="A91" s="12" t="s">
        <v>135</v>
      </c>
      <c r="B91" s="13" t="s">
        <v>1508</v>
      </c>
      <c r="C91" s="13"/>
      <c r="D91" s="13"/>
      <c r="E91" s="13" t="n">
        <v>3</v>
      </c>
      <c r="F91" s="12" t="s">
        <v>83</v>
      </c>
      <c r="G91" s="12" t="s">
        <v>145</v>
      </c>
      <c r="H91" s="12" t="s">
        <v>1537</v>
      </c>
      <c r="I91" s="15" t="s">
        <v>1538</v>
      </c>
    </row>
    <row r="92" customFormat="false" ht="23.85" hidden="false" customHeight="false" outlineLevel="0" collapsed="false">
      <c r="A92" s="12" t="s">
        <v>135</v>
      </c>
      <c r="B92" s="13" t="s">
        <v>1508</v>
      </c>
      <c r="C92" s="13"/>
      <c r="D92" s="13"/>
      <c r="E92" s="13" t="s">
        <v>1186</v>
      </c>
      <c r="F92" s="12" t="s">
        <v>83</v>
      </c>
      <c r="G92" s="12" t="s">
        <v>1539</v>
      </c>
      <c r="H92" s="12" t="s">
        <v>1540</v>
      </c>
      <c r="I92" s="15" t="s">
        <v>1541</v>
      </c>
    </row>
    <row r="93" customFormat="false" ht="23.85" hidden="false" customHeight="false" outlineLevel="0" collapsed="false">
      <c r="A93" s="12" t="s">
        <v>135</v>
      </c>
      <c r="B93" s="13" t="s">
        <v>1509</v>
      </c>
      <c r="C93" s="13"/>
      <c r="D93" s="13"/>
      <c r="E93" s="13" t="n">
        <v>1</v>
      </c>
      <c r="F93" s="12" t="s">
        <v>83</v>
      </c>
      <c r="G93" s="12" t="s">
        <v>145</v>
      </c>
      <c r="H93" s="12" t="s">
        <v>1537</v>
      </c>
      <c r="I93" s="15" t="s">
        <v>1538</v>
      </c>
    </row>
    <row r="94" customFormat="false" ht="23.85" hidden="false" customHeight="false" outlineLevel="0" collapsed="false">
      <c r="A94" s="12" t="s">
        <v>135</v>
      </c>
      <c r="B94" s="13" t="s">
        <v>1510</v>
      </c>
      <c r="C94" s="13" t="n">
        <v>1</v>
      </c>
      <c r="D94" s="13"/>
      <c r="E94" s="13"/>
      <c r="F94" s="12" t="s">
        <v>81</v>
      </c>
      <c r="G94" s="12" t="s">
        <v>145</v>
      </c>
      <c r="H94" s="12" t="s">
        <v>1537</v>
      </c>
      <c r="I94" s="15" t="s">
        <v>1538</v>
      </c>
    </row>
    <row r="95" customFormat="false" ht="23.85" hidden="false" customHeight="false" outlineLevel="0" collapsed="false">
      <c r="A95" s="12" t="s">
        <v>135</v>
      </c>
      <c r="B95" s="13" t="s">
        <v>1511</v>
      </c>
      <c r="C95" s="13" t="n">
        <v>1</v>
      </c>
      <c r="D95" s="13"/>
      <c r="E95" s="13" t="n">
        <v>1</v>
      </c>
      <c r="F95" s="12" t="s">
        <v>1499</v>
      </c>
      <c r="G95" s="12" t="s">
        <v>145</v>
      </c>
      <c r="H95" s="12" t="s">
        <v>1537</v>
      </c>
      <c r="I95" s="15" t="s">
        <v>1538</v>
      </c>
    </row>
    <row r="96" customFormat="false" ht="23.85" hidden="false" customHeight="false" outlineLevel="0" collapsed="false">
      <c r="A96" s="12" t="s">
        <v>135</v>
      </c>
      <c r="B96" s="13" t="s">
        <v>256</v>
      </c>
      <c r="C96" s="13" t="n">
        <v>10</v>
      </c>
      <c r="D96" s="13"/>
      <c r="E96" s="13" t="n">
        <v>2</v>
      </c>
      <c r="F96" s="12" t="s">
        <v>81</v>
      </c>
      <c r="G96" s="12" t="s">
        <v>145</v>
      </c>
      <c r="H96" s="12" t="s">
        <v>1537</v>
      </c>
      <c r="I96" s="15" t="s">
        <v>1538</v>
      </c>
    </row>
    <row r="97" customFormat="false" ht="23.85" hidden="false" customHeight="false" outlineLevel="0" collapsed="false">
      <c r="A97" s="12" t="s">
        <v>135</v>
      </c>
      <c r="B97" s="13" t="s">
        <v>256</v>
      </c>
      <c r="C97" s="13" t="s">
        <v>1186</v>
      </c>
      <c r="D97" s="13" t="s">
        <v>1186</v>
      </c>
      <c r="E97" s="13" t="s">
        <v>1186</v>
      </c>
      <c r="F97" s="12" t="s">
        <v>81</v>
      </c>
      <c r="G97" s="12" t="s">
        <v>1539</v>
      </c>
      <c r="H97" s="12" t="s">
        <v>1540</v>
      </c>
      <c r="I97" s="15" t="s">
        <v>1541</v>
      </c>
    </row>
    <row r="98" customFormat="false" ht="23.85" hidden="false" customHeight="false" outlineLevel="0" collapsed="false">
      <c r="A98" s="12" t="s">
        <v>135</v>
      </c>
      <c r="B98" s="13" t="s">
        <v>256</v>
      </c>
      <c r="C98" s="13"/>
      <c r="D98" s="13"/>
      <c r="E98" s="13" t="s">
        <v>1186</v>
      </c>
      <c r="F98" s="12" t="s">
        <v>83</v>
      </c>
      <c r="G98" s="12" t="s">
        <v>170</v>
      </c>
      <c r="H98" s="12" t="s">
        <v>1494</v>
      </c>
      <c r="I98" s="15" t="s">
        <v>1495</v>
      </c>
    </row>
    <row r="99" customFormat="false" ht="23.85" hidden="false" customHeight="false" outlineLevel="0" collapsed="false">
      <c r="A99" s="12" t="s">
        <v>135</v>
      </c>
      <c r="B99" s="13" t="s">
        <v>1501</v>
      </c>
      <c r="C99" s="13" t="n">
        <v>4</v>
      </c>
      <c r="D99" s="13"/>
      <c r="E99" s="13" t="n">
        <v>2</v>
      </c>
      <c r="F99" s="12" t="s">
        <v>81</v>
      </c>
      <c r="G99" s="12" t="s">
        <v>145</v>
      </c>
      <c r="H99" s="12" t="s">
        <v>1537</v>
      </c>
      <c r="I99" s="15" t="s">
        <v>1538</v>
      </c>
    </row>
    <row r="100" customFormat="false" ht="23.85" hidden="false" customHeight="false" outlineLevel="0" collapsed="false">
      <c r="A100" s="12" t="s">
        <v>135</v>
      </c>
      <c r="B100" s="13" t="s">
        <v>1501</v>
      </c>
      <c r="C100" s="13"/>
      <c r="D100" s="13"/>
      <c r="E100" s="13" t="s">
        <v>1186</v>
      </c>
      <c r="F100" s="12" t="s">
        <v>83</v>
      </c>
      <c r="G100" s="12" t="s">
        <v>1539</v>
      </c>
      <c r="H100" s="12" t="s">
        <v>1540</v>
      </c>
      <c r="I100" s="15" t="s">
        <v>1541</v>
      </c>
    </row>
    <row r="101" customFormat="false" ht="23.85" hidden="false" customHeight="false" outlineLevel="0" collapsed="false">
      <c r="A101" s="12" t="s">
        <v>135</v>
      </c>
      <c r="B101" s="13" t="s">
        <v>1501</v>
      </c>
      <c r="C101" s="13" t="s">
        <v>1186</v>
      </c>
      <c r="D101" s="13"/>
      <c r="E101" s="13" t="s">
        <v>1186</v>
      </c>
      <c r="F101" s="12" t="s">
        <v>1499</v>
      </c>
      <c r="G101" s="12" t="s">
        <v>170</v>
      </c>
      <c r="H101" s="12" t="s">
        <v>1494</v>
      </c>
      <c r="I101" s="15" t="s">
        <v>1495</v>
      </c>
    </row>
    <row r="102" customFormat="false" ht="23.85" hidden="false" customHeight="false" outlineLevel="0" collapsed="false">
      <c r="A102" s="12" t="s">
        <v>135</v>
      </c>
      <c r="B102" s="13" t="s">
        <v>1543</v>
      </c>
      <c r="C102" s="13"/>
      <c r="D102" s="13" t="n">
        <v>1</v>
      </c>
      <c r="E102" s="13" t="n">
        <v>1</v>
      </c>
      <c r="F102" s="12" t="s">
        <v>1542</v>
      </c>
      <c r="G102" s="12" t="s">
        <v>145</v>
      </c>
      <c r="H102" s="12" t="s">
        <v>1537</v>
      </c>
      <c r="I102" s="15" t="s">
        <v>1538</v>
      </c>
    </row>
    <row r="103" customFormat="false" ht="23.85" hidden="false" customHeight="false" outlineLevel="0" collapsed="false">
      <c r="A103" s="12" t="s">
        <v>135</v>
      </c>
      <c r="B103" s="13" t="s">
        <v>300</v>
      </c>
      <c r="C103" s="13" t="n">
        <v>2</v>
      </c>
      <c r="D103" s="13"/>
      <c r="E103" s="13"/>
      <c r="F103" s="12" t="s">
        <v>81</v>
      </c>
      <c r="G103" s="12" t="s">
        <v>145</v>
      </c>
      <c r="H103" s="12" t="s">
        <v>1537</v>
      </c>
      <c r="I103" s="15" t="s">
        <v>1538</v>
      </c>
    </row>
    <row r="104" customFormat="false" ht="23.85" hidden="false" customHeight="false" outlineLevel="0" collapsed="false">
      <c r="A104" s="12" t="s">
        <v>135</v>
      </c>
      <c r="B104" s="13" t="s">
        <v>300</v>
      </c>
      <c r="C104" s="13" t="s">
        <v>1186</v>
      </c>
      <c r="D104" s="13"/>
      <c r="E104" s="13"/>
      <c r="F104" s="12" t="s">
        <v>81</v>
      </c>
      <c r="G104" s="12" t="s">
        <v>170</v>
      </c>
      <c r="H104" s="12" t="s">
        <v>1494</v>
      </c>
      <c r="I104" s="15" t="s">
        <v>1495</v>
      </c>
    </row>
    <row r="105" customFormat="false" ht="23.85" hidden="false" customHeight="false" outlineLevel="0" collapsed="false">
      <c r="A105" s="12" t="s">
        <v>135</v>
      </c>
      <c r="B105" s="13" t="s">
        <v>1512</v>
      </c>
      <c r="C105" s="13" t="n">
        <v>11</v>
      </c>
      <c r="D105" s="13" t="n">
        <v>1</v>
      </c>
      <c r="E105" s="13" t="n">
        <v>2</v>
      </c>
      <c r="F105" s="12" t="s">
        <v>81</v>
      </c>
      <c r="G105" s="12" t="s">
        <v>145</v>
      </c>
      <c r="H105" s="12" t="s">
        <v>1537</v>
      </c>
      <c r="I105" s="15" t="s">
        <v>1538</v>
      </c>
    </row>
    <row r="106" customFormat="false" ht="23.85" hidden="false" customHeight="false" outlineLevel="0" collapsed="false">
      <c r="A106" s="12" t="s">
        <v>135</v>
      </c>
      <c r="B106" s="13" t="s">
        <v>1512</v>
      </c>
      <c r="C106" s="13" t="s">
        <v>1186</v>
      </c>
      <c r="D106" s="13"/>
      <c r="E106" s="13" t="s">
        <v>1186</v>
      </c>
      <c r="F106" s="12" t="s">
        <v>81</v>
      </c>
      <c r="G106" s="12" t="s">
        <v>1539</v>
      </c>
      <c r="H106" s="12" t="s">
        <v>1540</v>
      </c>
      <c r="I106" s="15" t="s">
        <v>1541</v>
      </c>
    </row>
    <row r="107" customFormat="false" ht="23.85" hidden="false" customHeight="false" outlineLevel="0" collapsed="false">
      <c r="A107" s="12" t="s">
        <v>135</v>
      </c>
      <c r="B107" s="13" t="s">
        <v>1512</v>
      </c>
      <c r="C107" s="13"/>
      <c r="D107" s="13"/>
      <c r="E107" s="13" t="s">
        <v>1186</v>
      </c>
      <c r="F107" s="12" t="s">
        <v>83</v>
      </c>
      <c r="G107" s="12" t="s">
        <v>170</v>
      </c>
      <c r="H107" s="12" t="s">
        <v>1494</v>
      </c>
      <c r="I107" s="15" t="s">
        <v>1495</v>
      </c>
    </row>
    <row r="108" customFormat="false" ht="23.85" hidden="false" customHeight="false" outlineLevel="0" collapsed="false">
      <c r="A108" s="12" t="s">
        <v>135</v>
      </c>
      <c r="B108" s="13" t="s">
        <v>1513</v>
      </c>
      <c r="C108" s="13" t="n">
        <v>1</v>
      </c>
      <c r="D108" s="13"/>
      <c r="E108" s="13" t="n">
        <v>1</v>
      </c>
      <c r="F108" s="12" t="s">
        <v>1499</v>
      </c>
      <c r="G108" s="12" t="s">
        <v>145</v>
      </c>
      <c r="H108" s="12" t="s">
        <v>1537</v>
      </c>
      <c r="I108" s="15" t="s">
        <v>1538</v>
      </c>
    </row>
    <row r="109" customFormat="false" ht="23.85" hidden="false" customHeight="false" outlineLevel="0" collapsed="false">
      <c r="A109" s="12" t="s">
        <v>135</v>
      </c>
      <c r="B109" s="13" t="s">
        <v>1513</v>
      </c>
      <c r="C109" s="13" t="s">
        <v>1186</v>
      </c>
      <c r="D109" s="13"/>
      <c r="E109" s="13" t="s">
        <v>1186</v>
      </c>
      <c r="F109" s="12" t="s">
        <v>81</v>
      </c>
      <c r="G109" s="12" t="s">
        <v>1539</v>
      </c>
      <c r="H109" s="12" t="s">
        <v>1540</v>
      </c>
      <c r="I109" s="15" t="s">
        <v>1541</v>
      </c>
    </row>
    <row r="110" customFormat="false" ht="23.85" hidden="false" customHeight="false" outlineLevel="0" collapsed="false">
      <c r="A110" s="12" t="s">
        <v>135</v>
      </c>
      <c r="B110" s="13" t="s">
        <v>1513</v>
      </c>
      <c r="C110" s="13" t="s">
        <v>1186</v>
      </c>
      <c r="D110" s="13"/>
      <c r="E110" s="13"/>
      <c r="F110" s="12" t="s">
        <v>81</v>
      </c>
      <c r="G110" s="12" t="s">
        <v>170</v>
      </c>
      <c r="H110" s="12" t="s">
        <v>1494</v>
      </c>
      <c r="I110" s="15" t="s">
        <v>1495</v>
      </c>
    </row>
    <row r="111" customFormat="false" ht="23.85" hidden="false" customHeight="false" outlineLevel="0" collapsed="false">
      <c r="A111" s="12" t="s">
        <v>135</v>
      </c>
      <c r="B111" s="13" t="s">
        <v>1514</v>
      </c>
      <c r="C111" s="13" t="n">
        <v>1</v>
      </c>
      <c r="D111" s="13" t="n">
        <v>1</v>
      </c>
      <c r="E111" s="13" t="n">
        <v>2</v>
      </c>
      <c r="F111" s="12" t="s">
        <v>83</v>
      </c>
      <c r="G111" s="12" t="s">
        <v>145</v>
      </c>
      <c r="H111" s="12" t="s">
        <v>1537</v>
      </c>
      <c r="I111" s="15" t="s">
        <v>1538</v>
      </c>
    </row>
    <row r="112" customFormat="false" ht="23.85" hidden="false" customHeight="false" outlineLevel="0" collapsed="false">
      <c r="A112" s="12" t="s">
        <v>135</v>
      </c>
      <c r="B112" s="13" t="s">
        <v>255</v>
      </c>
      <c r="C112" s="13" t="n">
        <v>7</v>
      </c>
      <c r="D112" s="13"/>
      <c r="E112" s="13" t="n">
        <v>3</v>
      </c>
      <c r="F112" s="12" t="s">
        <v>81</v>
      </c>
      <c r="G112" s="12" t="s">
        <v>145</v>
      </c>
      <c r="H112" s="12" t="s">
        <v>1537</v>
      </c>
      <c r="I112" s="15" t="s">
        <v>1538</v>
      </c>
    </row>
    <row r="113" customFormat="false" ht="23.85" hidden="false" customHeight="false" outlineLevel="0" collapsed="false">
      <c r="A113" s="12" t="s">
        <v>135</v>
      </c>
      <c r="B113" s="13" t="s">
        <v>255</v>
      </c>
      <c r="C113" s="13" t="s">
        <v>1186</v>
      </c>
      <c r="D113" s="13"/>
      <c r="E113" s="13"/>
      <c r="F113" s="12" t="s">
        <v>81</v>
      </c>
      <c r="G113" s="12" t="s">
        <v>1539</v>
      </c>
      <c r="H113" s="12" t="s">
        <v>1540</v>
      </c>
      <c r="I113" s="15" t="s">
        <v>1541</v>
      </c>
    </row>
    <row r="114" customFormat="false" ht="23.85" hidden="false" customHeight="false" outlineLevel="0" collapsed="false">
      <c r="A114" s="12" t="s">
        <v>135</v>
      </c>
      <c r="B114" s="13" t="s">
        <v>255</v>
      </c>
      <c r="C114" s="13" t="s">
        <v>1186</v>
      </c>
      <c r="D114" s="13"/>
      <c r="E114" s="13"/>
      <c r="F114" s="12" t="s">
        <v>81</v>
      </c>
      <c r="G114" s="12" t="s">
        <v>170</v>
      </c>
      <c r="H114" s="12" t="s">
        <v>1494</v>
      </c>
      <c r="I114" s="15" t="s">
        <v>1495</v>
      </c>
    </row>
    <row r="115" customFormat="false" ht="23.85" hidden="false" customHeight="false" outlineLevel="0" collapsed="false">
      <c r="A115" s="12" t="s">
        <v>135</v>
      </c>
      <c r="B115" s="13" t="s">
        <v>1498</v>
      </c>
      <c r="C115" s="13" t="n">
        <v>1</v>
      </c>
      <c r="D115" s="13"/>
      <c r="E115" s="13" t="n">
        <v>2</v>
      </c>
      <c r="F115" s="12" t="s">
        <v>83</v>
      </c>
      <c r="G115" s="12" t="s">
        <v>145</v>
      </c>
      <c r="H115" s="12" t="s">
        <v>1537</v>
      </c>
      <c r="I115" s="15" t="s">
        <v>1538</v>
      </c>
    </row>
    <row r="116" customFormat="false" ht="23.85" hidden="false" customHeight="false" outlineLevel="0" collapsed="false">
      <c r="A116" s="12" t="s">
        <v>135</v>
      </c>
      <c r="B116" s="13" t="s">
        <v>1498</v>
      </c>
      <c r="C116" s="13" t="s">
        <v>1186</v>
      </c>
      <c r="D116" s="13"/>
      <c r="E116" s="13"/>
      <c r="F116" s="12" t="s">
        <v>81</v>
      </c>
      <c r="G116" s="12" t="s">
        <v>1539</v>
      </c>
      <c r="H116" s="12" t="s">
        <v>1540</v>
      </c>
      <c r="I116" s="15" t="s">
        <v>1541</v>
      </c>
    </row>
    <row r="117" customFormat="false" ht="23.85" hidden="false" customHeight="false" outlineLevel="0" collapsed="false">
      <c r="A117" s="12" t="s">
        <v>135</v>
      </c>
      <c r="B117" s="13" t="s">
        <v>1515</v>
      </c>
      <c r="C117" s="13" t="n">
        <v>1</v>
      </c>
      <c r="D117" s="13"/>
      <c r="E117" s="13" t="n">
        <v>3</v>
      </c>
      <c r="F117" s="12" t="s">
        <v>83</v>
      </c>
      <c r="G117" s="12" t="s">
        <v>145</v>
      </c>
      <c r="H117" s="12" t="s">
        <v>1537</v>
      </c>
      <c r="I117" s="15" t="s">
        <v>1538</v>
      </c>
    </row>
    <row r="118" customFormat="false" ht="23.85" hidden="false" customHeight="false" outlineLevel="0" collapsed="false">
      <c r="A118" s="12" t="s">
        <v>135</v>
      </c>
      <c r="B118" s="13" t="s">
        <v>490</v>
      </c>
      <c r="C118" s="13"/>
      <c r="D118" s="13" t="n">
        <v>1</v>
      </c>
      <c r="E118" s="13"/>
      <c r="F118" s="12" t="s">
        <v>82</v>
      </c>
      <c r="G118" s="12" t="s">
        <v>145</v>
      </c>
      <c r="H118" s="12" t="s">
        <v>1537</v>
      </c>
      <c r="I118" s="15" t="s">
        <v>1538</v>
      </c>
    </row>
    <row r="119" customFormat="false" ht="23.85" hidden="false" customHeight="false" outlineLevel="0" collapsed="false">
      <c r="A119" s="12" t="s">
        <v>135</v>
      </c>
      <c r="B119" s="13" t="s">
        <v>490</v>
      </c>
      <c r="C119" s="13" t="s">
        <v>1186</v>
      </c>
      <c r="D119" s="13"/>
      <c r="E119" s="13"/>
      <c r="F119" s="12" t="s">
        <v>81</v>
      </c>
      <c r="G119" s="12" t="s">
        <v>1539</v>
      </c>
      <c r="H119" s="12" t="s">
        <v>1540</v>
      </c>
      <c r="I119" s="15" t="s">
        <v>1541</v>
      </c>
    </row>
    <row r="120" customFormat="false" ht="23.85" hidden="false" customHeight="false" outlineLevel="0" collapsed="false">
      <c r="A120" s="12" t="s">
        <v>135</v>
      </c>
      <c r="B120" s="13" t="s">
        <v>490</v>
      </c>
      <c r="C120" s="13" t="s">
        <v>1186</v>
      </c>
      <c r="D120" s="13"/>
      <c r="E120" s="13"/>
      <c r="F120" s="12" t="s">
        <v>81</v>
      </c>
      <c r="G120" s="12" t="s">
        <v>170</v>
      </c>
      <c r="H120" s="12" t="s">
        <v>1494</v>
      </c>
      <c r="I120" s="15" t="s">
        <v>1495</v>
      </c>
    </row>
    <row r="121" customFormat="false" ht="23.85" hidden="false" customHeight="false" outlineLevel="0" collapsed="false">
      <c r="A121" s="12" t="s">
        <v>135</v>
      </c>
      <c r="B121" s="13" t="s">
        <v>1516</v>
      </c>
      <c r="C121" s="13" t="s">
        <v>1186</v>
      </c>
      <c r="D121" s="13"/>
      <c r="E121" s="13"/>
      <c r="F121" s="12" t="s">
        <v>81</v>
      </c>
      <c r="G121" s="12" t="s">
        <v>1539</v>
      </c>
      <c r="H121" s="12" t="s">
        <v>1540</v>
      </c>
      <c r="I121" s="15" t="s">
        <v>1541</v>
      </c>
    </row>
    <row r="122" customFormat="false" ht="23.85" hidden="false" customHeight="false" outlineLevel="0" collapsed="false">
      <c r="A122" s="12" t="s">
        <v>135</v>
      </c>
      <c r="B122" s="13" t="s">
        <v>1517</v>
      </c>
      <c r="C122" s="13" t="n">
        <v>1</v>
      </c>
      <c r="D122" s="13"/>
      <c r="E122" s="13"/>
      <c r="F122" s="12" t="s">
        <v>81</v>
      </c>
      <c r="G122" s="12" t="s">
        <v>145</v>
      </c>
      <c r="H122" s="12" t="s">
        <v>1537</v>
      </c>
      <c r="I122" s="15" t="s">
        <v>1538</v>
      </c>
    </row>
    <row r="123" customFormat="false" ht="23.85" hidden="false" customHeight="false" outlineLevel="0" collapsed="false">
      <c r="A123" s="12" t="s">
        <v>135</v>
      </c>
      <c r="B123" s="13" t="s">
        <v>1517</v>
      </c>
      <c r="C123" s="13" t="s">
        <v>1186</v>
      </c>
      <c r="D123" s="13"/>
      <c r="E123" s="13"/>
      <c r="F123" s="12" t="s">
        <v>81</v>
      </c>
      <c r="G123" s="12" t="s">
        <v>1539</v>
      </c>
      <c r="H123" s="12" t="s">
        <v>1540</v>
      </c>
      <c r="I123" s="15" t="s">
        <v>1541</v>
      </c>
    </row>
    <row r="124" customFormat="false" ht="23.85" hidden="false" customHeight="false" outlineLevel="0" collapsed="false">
      <c r="A124" s="12" t="s">
        <v>135</v>
      </c>
      <c r="B124" s="13" t="s">
        <v>1519</v>
      </c>
      <c r="C124" s="13" t="n">
        <v>3</v>
      </c>
      <c r="D124" s="13" t="n">
        <v>2</v>
      </c>
      <c r="E124" s="13" t="n">
        <v>2</v>
      </c>
      <c r="F124" s="12" t="s">
        <v>81</v>
      </c>
      <c r="G124" s="12" t="s">
        <v>145</v>
      </c>
      <c r="H124" s="12" t="s">
        <v>1537</v>
      </c>
      <c r="I124" s="15" t="s">
        <v>1538</v>
      </c>
    </row>
    <row r="125" customFormat="false" ht="23.85" hidden="false" customHeight="false" outlineLevel="0" collapsed="false">
      <c r="A125" s="12" t="s">
        <v>135</v>
      </c>
      <c r="B125" s="13" t="s">
        <v>1519</v>
      </c>
      <c r="C125" s="13" t="s">
        <v>1186</v>
      </c>
      <c r="D125" s="13" t="s">
        <v>1186</v>
      </c>
      <c r="E125" s="13" t="s">
        <v>1186</v>
      </c>
      <c r="F125" s="12" t="s">
        <v>81</v>
      </c>
      <c r="G125" s="12" t="s">
        <v>1539</v>
      </c>
      <c r="H125" s="12" t="s">
        <v>1540</v>
      </c>
      <c r="I125" s="15" t="s">
        <v>1541</v>
      </c>
    </row>
    <row r="126" customFormat="false" ht="23.85" hidden="false" customHeight="false" outlineLevel="0" collapsed="false">
      <c r="A126" s="12" t="s">
        <v>135</v>
      </c>
      <c r="B126" s="13" t="s">
        <v>1519</v>
      </c>
      <c r="C126" s="13" t="s">
        <v>1186</v>
      </c>
      <c r="D126" s="13"/>
      <c r="E126" s="13"/>
      <c r="F126" s="12" t="s">
        <v>81</v>
      </c>
      <c r="G126" s="12" t="s">
        <v>170</v>
      </c>
      <c r="H126" s="12" t="s">
        <v>1494</v>
      </c>
      <c r="I126" s="15" t="s">
        <v>1495</v>
      </c>
    </row>
    <row r="127" customFormat="false" ht="23.85" hidden="false" customHeight="false" outlineLevel="0" collapsed="false">
      <c r="A127" s="12" t="s">
        <v>135</v>
      </c>
      <c r="B127" s="13" t="s">
        <v>1520</v>
      </c>
      <c r="C127" s="13" t="n">
        <v>1</v>
      </c>
      <c r="D127" s="13"/>
      <c r="E127" s="13" t="n">
        <v>1</v>
      </c>
      <c r="F127" s="12" t="s">
        <v>1499</v>
      </c>
      <c r="G127" s="12" t="s">
        <v>145</v>
      </c>
      <c r="H127" s="12" t="s">
        <v>1537</v>
      </c>
      <c r="I127" s="15" t="s">
        <v>1538</v>
      </c>
    </row>
    <row r="128" customFormat="false" ht="23.85" hidden="false" customHeight="false" outlineLevel="0" collapsed="false">
      <c r="A128" s="12" t="s">
        <v>135</v>
      </c>
      <c r="B128" s="13" t="s">
        <v>367</v>
      </c>
      <c r="C128" s="13" t="n">
        <v>3</v>
      </c>
      <c r="D128" s="13"/>
      <c r="E128" s="13" t="n">
        <v>1</v>
      </c>
      <c r="F128" s="12" t="s">
        <v>81</v>
      </c>
      <c r="G128" s="12" t="s">
        <v>145</v>
      </c>
      <c r="H128" s="12" t="s">
        <v>1537</v>
      </c>
      <c r="I128" s="15" t="s">
        <v>1538</v>
      </c>
    </row>
    <row r="129" customFormat="false" ht="23.85" hidden="false" customHeight="false" outlineLevel="0" collapsed="false">
      <c r="A129" s="12" t="s">
        <v>135</v>
      </c>
      <c r="B129" s="13" t="s">
        <v>367</v>
      </c>
      <c r="C129" s="13" t="s">
        <v>1186</v>
      </c>
      <c r="D129" s="13"/>
      <c r="E129" s="13"/>
      <c r="F129" s="12" t="s">
        <v>81</v>
      </c>
      <c r="G129" s="12" t="s">
        <v>1539</v>
      </c>
      <c r="H129" s="12" t="s">
        <v>1540</v>
      </c>
      <c r="I129" s="15" t="s">
        <v>1541</v>
      </c>
    </row>
    <row r="130" customFormat="false" ht="23.85" hidden="false" customHeight="false" outlineLevel="0" collapsed="false">
      <c r="A130" s="12" t="s">
        <v>135</v>
      </c>
      <c r="B130" s="13" t="s">
        <v>367</v>
      </c>
      <c r="C130" s="13" t="s">
        <v>1186</v>
      </c>
      <c r="D130" s="13"/>
      <c r="E130" s="13" t="s">
        <v>1186</v>
      </c>
      <c r="F130" s="12" t="s">
        <v>1499</v>
      </c>
      <c r="G130" s="12" t="s">
        <v>170</v>
      </c>
      <c r="H130" s="12" t="s">
        <v>1494</v>
      </c>
      <c r="I130" s="15" t="s">
        <v>1495</v>
      </c>
    </row>
    <row r="131" customFormat="false" ht="23.85" hidden="false" customHeight="false" outlineLevel="0" collapsed="false">
      <c r="A131" s="12" t="s">
        <v>135</v>
      </c>
      <c r="B131" s="13" t="s">
        <v>1521</v>
      </c>
      <c r="C131" s="13" t="s">
        <v>1186</v>
      </c>
      <c r="D131" s="13"/>
      <c r="E131" s="13"/>
      <c r="F131" s="12" t="s">
        <v>81</v>
      </c>
      <c r="G131" s="12" t="s">
        <v>170</v>
      </c>
      <c r="H131" s="12" t="s">
        <v>1494</v>
      </c>
      <c r="I131" s="15" t="s">
        <v>1495</v>
      </c>
    </row>
    <row r="132" customFormat="false" ht="23.85" hidden="false" customHeight="false" outlineLevel="0" collapsed="false">
      <c r="A132" s="12" t="s">
        <v>135</v>
      </c>
      <c r="B132" s="13" t="s">
        <v>1522</v>
      </c>
      <c r="C132" s="13" t="n">
        <v>1</v>
      </c>
      <c r="D132" s="13"/>
      <c r="E132" s="13" t="n">
        <v>1</v>
      </c>
      <c r="F132" s="12" t="s">
        <v>1499</v>
      </c>
      <c r="G132" s="12" t="s">
        <v>145</v>
      </c>
      <c r="H132" s="12" t="s">
        <v>1537</v>
      </c>
      <c r="I132" s="15" t="s">
        <v>1538</v>
      </c>
    </row>
    <row r="133" customFormat="false" ht="23.85" hidden="false" customHeight="false" outlineLevel="0" collapsed="false">
      <c r="A133" s="12" t="s">
        <v>135</v>
      </c>
      <c r="B133" s="13" t="s">
        <v>1522</v>
      </c>
      <c r="C133" s="13" t="s">
        <v>1186</v>
      </c>
      <c r="D133" s="13" t="s">
        <v>1186</v>
      </c>
      <c r="E133" s="13"/>
      <c r="F133" s="12" t="s">
        <v>81</v>
      </c>
      <c r="G133" s="12" t="s">
        <v>1539</v>
      </c>
      <c r="H133" s="12" t="s">
        <v>1540</v>
      </c>
      <c r="I133" s="15" t="s">
        <v>1541</v>
      </c>
    </row>
    <row r="134" customFormat="false" ht="23.85" hidden="false" customHeight="false" outlineLevel="0" collapsed="false">
      <c r="A134" s="12" t="s">
        <v>135</v>
      </c>
      <c r="B134" s="13" t="s">
        <v>377</v>
      </c>
      <c r="C134" s="13" t="n">
        <v>5</v>
      </c>
      <c r="D134" s="13" t="n">
        <v>1</v>
      </c>
      <c r="E134" s="13" t="n">
        <v>3</v>
      </c>
      <c r="F134" s="12" t="s">
        <v>81</v>
      </c>
      <c r="G134" s="12" t="s">
        <v>145</v>
      </c>
      <c r="H134" s="12" t="s">
        <v>1537</v>
      </c>
      <c r="I134" s="15" t="s">
        <v>1538</v>
      </c>
    </row>
    <row r="135" customFormat="false" ht="23.85" hidden="false" customHeight="false" outlineLevel="0" collapsed="false">
      <c r="A135" s="12" t="s">
        <v>135</v>
      </c>
      <c r="B135" s="13" t="s">
        <v>377</v>
      </c>
      <c r="C135" s="13" t="s">
        <v>1186</v>
      </c>
      <c r="D135" s="13"/>
      <c r="E135" s="13"/>
      <c r="F135" s="12" t="s">
        <v>81</v>
      </c>
      <c r="G135" s="12" t="s">
        <v>1539</v>
      </c>
      <c r="H135" s="12" t="s">
        <v>1540</v>
      </c>
      <c r="I135" s="15" t="s">
        <v>1541</v>
      </c>
    </row>
    <row r="136" customFormat="false" ht="23.85" hidden="false" customHeight="false" outlineLevel="0" collapsed="false">
      <c r="A136" s="12" t="s">
        <v>135</v>
      </c>
      <c r="B136" s="13" t="s">
        <v>377</v>
      </c>
      <c r="C136" s="13" t="s">
        <v>1186</v>
      </c>
      <c r="D136" s="13"/>
      <c r="E136" s="13"/>
      <c r="F136" s="12" t="s">
        <v>81</v>
      </c>
      <c r="G136" s="12" t="s">
        <v>170</v>
      </c>
      <c r="H136" s="12" t="s">
        <v>1494</v>
      </c>
      <c r="I136" s="15" t="s">
        <v>1495</v>
      </c>
    </row>
    <row r="137" customFormat="false" ht="23.85" hidden="false" customHeight="false" outlineLevel="0" collapsed="false">
      <c r="A137" s="12" t="s">
        <v>135</v>
      </c>
      <c r="B137" s="13" t="s">
        <v>1523</v>
      </c>
      <c r="C137" s="13" t="s">
        <v>1186</v>
      </c>
      <c r="D137" s="13"/>
      <c r="E137" s="13"/>
      <c r="F137" s="12" t="s">
        <v>81</v>
      </c>
      <c r="G137" s="12" t="s">
        <v>1539</v>
      </c>
      <c r="H137" s="12" t="s">
        <v>1540</v>
      </c>
      <c r="I137" s="15" t="s">
        <v>1541</v>
      </c>
    </row>
    <row r="138" customFormat="false" ht="23.85" hidden="false" customHeight="false" outlineLevel="0" collapsed="false">
      <c r="A138" s="12" t="s">
        <v>135</v>
      </c>
      <c r="B138" s="13" t="s">
        <v>1525</v>
      </c>
      <c r="C138" s="13" t="n">
        <v>1</v>
      </c>
      <c r="D138" s="13"/>
      <c r="E138" s="13" t="n">
        <v>2</v>
      </c>
      <c r="F138" s="12" t="s">
        <v>83</v>
      </c>
      <c r="G138" s="12" t="s">
        <v>145</v>
      </c>
      <c r="H138" s="12" t="s">
        <v>1537</v>
      </c>
      <c r="I138" s="15" t="s">
        <v>1538</v>
      </c>
    </row>
    <row r="139" customFormat="false" ht="23.85" hidden="false" customHeight="false" outlineLevel="0" collapsed="false">
      <c r="A139" s="12" t="s">
        <v>135</v>
      </c>
      <c r="B139" s="13" t="s">
        <v>1525</v>
      </c>
      <c r="C139" s="13" t="s">
        <v>1186</v>
      </c>
      <c r="D139" s="13"/>
      <c r="E139" s="13" t="s">
        <v>1186</v>
      </c>
      <c r="F139" s="12" t="s">
        <v>81</v>
      </c>
      <c r="G139" s="12" t="s">
        <v>1539</v>
      </c>
      <c r="H139" s="12" t="s">
        <v>1540</v>
      </c>
      <c r="I139" s="15" t="s">
        <v>1541</v>
      </c>
    </row>
    <row r="140" customFormat="false" ht="23.85" hidden="false" customHeight="false" outlineLevel="0" collapsed="false">
      <c r="A140" s="12" t="s">
        <v>135</v>
      </c>
      <c r="B140" s="13" t="s">
        <v>305</v>
      </c>
      <c r="C140" s="13" t="n">
        <v>4</v>
      </c>
      <c r="D140" s="13"/>
      <c r="E140" s="13" t="n">
        <v>2</v>
      </c>
      <c r="F140" s="12" t="s">
        <v>81</v>
      </c>
      <c r="G140" s="12" t="s">
        <v>145</v>
      </c>
      <c r="H140" s="12" t="s">
        <v>1537</v>
      </c>
      <c r="I140" s="15" t="s">
        <v>1538</v>
      </c>
    </row>
    <row r="141" customFormat="false" ht="23.85" hidden="false" customHeight="false" outlineLevel="0" collapsed="false">
      <c r="A141" s="12" t="s">
        <v>135</v>
      </c>
      <c r="B141" s="13" t="s">
        <v>305</v>
      </c>
      <c r="C141" s="13" t="s">
        <v>1186</v>
      </c>
      <c r="D141" s="13"/>
      <c r="E141" s="13" t="s">
        <v>1186</v>
      </c>
      <c r="F141" s="12" t="s">
        <v>81</v>
      </c>
      <c r="G141" s="12" t="s">
        <v>1539</v>
      </c>
      <c r="H141" s="12" t="s">
        <v>1540</v>
      </c>
      <c r="I141" s="15" t="s">
        <v>1541</v>
      </c>
    </row>
    <row r="142" customFormat="false" ht="23.85" hidden="false" customHeight="false" outlineLevel="0" collapsed="false">
      <c r="A142" s="12" t="s">
        <v>135</v>
      </c>
      <c r="B142" s="13" t="s">
        <v>305</v>
      </c>
      <c r="C142" s="13" t="s">
        <v>1186</v>
      </c>
      <c r="D142" s="13"/>
      <c r="E142" s="13" t="s">
        <v>1186</v>
      </c>
      <c r="F142" s="12" t="s">
        <v>1499</v>
      </c>
      <c r="G142" s="12" t="s">
        <v>170</v>
      </c>
      <c r="H142" s="12" t="s">
        <v>1494</v>
      </c>
      <c r="I142" s="15" t="s">
        <v>1495</v>
      </c>
    </row>
    <row r="143" customFormat="false" ht="23.85" hidden="false" customHeight="false" outlineLevel="0" collapsed="false">
      <c r="A143" s="12" t="s">
        <v>135</v>
      </c>
      <c r="B143" s="13" t="s">
        <v>1544</v>
      </c>
      <c r="C143" s="13" t="n">
        <v>1</v>
      </c>
      <c r="D143" s="13"/>
      <c r="E143" s="13"/>
      <c r="F143" s="12" t="s">
        <v>81</v>
      </c>
      <c r="G143" s="12" t="s">
        <v>145</v>
      </c>
      <c r="H143" s="12" t="s">
        <v>1537</v>
      </c>
      <c r="I143" s="15" t="s">
        <v>1538</v>
      </c>
    </row>
    <row r="144" customFormat="false" ht="23.85" hidden="false" customHeight="false" outlineLevel="0" collapsed="false">
      <c r="A144" s="12" t="s">
        <v>135</v>
      </c>
      <c r="B144" s="13" t="s">
        <v>381</v>
      </c>
      <c r="C144" s="13" t="n">
        <v>1</v>
      </c>
      <c r="D144" s="13"/>
      <c r="E144" s="13" t="n">
        <v>1</v>
      </c>
      <c r="F144" s="12" t="s">
        <v>1499</v>
      </c>
      <c r="G144" s="12" t="s">
        <v>145</v>
      </c>
      <c r="H144" s="12" t="s">
        <v>1537</v>
      </c>
      <c r="I144" s="15" t="s">
        <v>1538</v>
      </c>
    </row>
    <row r="145" customFormat="false" ht="23.85" hidden="false" customHeight="false" outlineLevel="0" collapsed="false">
      <c r="A145" s="12" t="s">
        <v>135</v>
      </c>
      <c r="B145" s="13" t="s">
        <v>381</v>
      </c>
      <c r="C145" s="13"/>
      <c r="D145" s="13"/>
      <c r="E145" s="13" t="s">
        <v>1186</v>
      </c>
      <c r="F145" s="12" t="s">
        <v>83</v>
      </c>
      <c r="G145" s="12" t="s">
        <v>1539</v>
      </c>
      <c r="H145" s="12" t="s">
        <v>1540</v>
      </c>
      <c r="I145" s="15" t="s">
        <v>1541</v>
      </c>
    </row>
    <row r="146" customFormat="false" ht="23.85" hidden="false" customHeight="false" outlineLevel="0" collapsed="false">
      <c r="A146" s="12" t="s">
        <v>135</v>
      </c>
      <c r="B146" s="13" t="s">
        <v>381</v>
      </c>
      <c r="C146" s="13" t="s">
        <v>1186</v>
      </c>
      <c r="D146" s="13"/>
      <c r="E146" s="13" t="s">
        <v>1186</v>
      </c>
      <c r="F146" s="12" t="s">
        <v>1499</v>
      </c>
      <c r="G146" s="12" t="s">
        <v>170</v>
      </c>
      <c r="H146" s="12" t="s">
        <v>1494</v>
      </c>
      <c r="I146" s="15" t="s">
        <v>1495</v>
      </c>
    </row>
    <row r="147" customFormat="false" ht="23.85" hidden="false" customHeight="false" outlineLevel="0" collapsed="false">
      <c r="A147" s="12" t="s">
        <v>135</v>
      </c>
      <c r="B147" s="13" t="s">
        <v>1526</v>
      </c>
      <c r="C147" s="13" t="s">
        <v>1186</v>
      </c>
      <c r="D147" s="13"/>
      <c r="E147" s="13"/>
      <c r="F147" s="12" t="s">
        <v>81</v>
      </c>
      <c r="G147" s="12" t="s">
        <v>1539</v>
      </c>
      <c r="H147" s="12" t="s">
        <v>1540</v>
      </c>
      <c r="I147" s="15" t="s">
        <v>1541</v>
      </c>
    </row>
    <row r="148" customFormat="false" ht="23.85" hidden="false" customHeight="false" outlineLevel="0" collapsed="false">
      <c r="A148" s="12" t="s">
        <v>135</v>
      </c>
      <c r="B148" s="13" t="s">
        <v>316</v>
      </c>
      <c r="C148" s="13" t="n">
        <v>13</v>
      </c>
      <c r="D148" s="13"/>
      <c r="E148" s="13" t="n">
        <v>8</v>
      </c>
      <c r="F148" s="12" t="s">
        <v>81</v>
      </c>
      <c r="G148" s="12" t="s">
        <v>145</v>
      </c>
      <c r="H148" s="12" t="s">
        <v>1537</v>
      </c>
      <c r="I148" s="15" t="s">
        <v>1538</v>
      </c>
    </row>
    <row r="149" customFormat="false" ht="23.85" hidden="false" customHeight="false" outlineLevel="0" collapsed="false">
      <c r="A149" s="12" t="s">
        <v>135</v>
      </c>
      <c r="B149" s="13" t="s">
        <v>316</v>
      </c>
      <c r="C149" s="13" t="s">
        <v>1186</v>
      </c>
      <c r="D149" s="13"/>
      <c r="E149" s="13" t="s">
        <v>1186</v>
      </c>
      <c r="F149" s="12" t="s">
        <v>81</v>
      </c>
      <c r="G149" s="12" t="s">
        <v>1539</v>
      </c>
      <c r="H149" s="12" t="s">
        <v>1540</v>
      </c>
      <c r="I149" s="15" t="s">
        <v>1541</v>
      </c>
    </row>
    <row r="150" customFormat="false" ht="23.85" hidden="false" customHeight="false" outlineLevel="0" collapsed="false">
      <c r="A150" s="12" t="s">
        <v>135</v>
      </c>
      <c r="B150" s="13" t="s">
        <v>316</v>
      </c>
      <c r="C150" s="13" t="s">
        <v>1186</v>
      </c>
      <c r="D150" s="13"/>
      <c r="E150" s="13" t="s">
        <v>1186</v>
      </c>
      <c r="F150" s="12" t="s">
        <v>1499</v>
      </c>
      <c r="G150" s="12" t="s">
        <v>170</v>
      </c>
      <c r="H150" s="12" t="s">
        <v>1494</v>
      </c>
      <c r="I150" s="15" t="s">
        <v>1495</v>
      </c>
    </row>
    <row r="151" customFormat="false" ht="23.85" hidden="false" customHeight="false" outlineLevel="0" collapsed="false">
      <c r="A151" s="12" t="s">
        <v>135</v>
      </c>
      <c r="B151" s="13" t="s">
        <v>1528</v>
      </c>
      <c r="C151" s="13" t="n">
        <v>1</v>
      </c>
      <c r="D151" s="13"/>
      <c r="E151" s="13"/>
      <c r="F151" s="12" t="s">
        <v>81</v>
      </c>
      <c r="G151" s="12" t="s">
        <v>145</v>
      </c>
      <c r="H151" s="12" t="s">
        <v>1537</v>
      </c>
      <c r="I151" s="15" t="s">
        <v>1538</v>
      </c>
    </row>
    <row r="152" customFormat="false" ht="23.85" hidden="false" customHeight="false" outlineLevel="0" collapsed="false">
      <c r="A152" s="12" t="s">
        <v>135</v>
      </c>
      <c r="B152" s="13" t="s">
        <v>1528</v>
      </c>
      <c r="C152" s="13" t="s">
        <v>1186</v>
      </c>
      <c r="D152" s="13"/>
      <c r="E152" s="13"/>
      <c r="F152" s="12" t="s">
        <v>81</v>
      </c>
      <c r="G152" s="12" t="s">
        <v>1539</v>
      </c>
      <c r="H152" s="12" t="s">
        <v>1540</v>
      </c>
      <c r="I152" s="15" t="s">
        <v>1541</v>
      </c>
    </row>
    <row r="153" customFormat="false" ht="23.85" hidden="false" customHeight="false" outlineLevel="0" collapsed="false">
      <c r="A153" s="12" t="s">
        <v>135</v>
      </c>
      <c r="B153" s="13" t="s">
        <v>1528</v>
      </c>
      <c r="C153" s="13" t="s">
        <v>1186</v>
      </c>
      <c r="D153" s="13"/>
      <c r="E153" s="13"/>
      <c r="F153" s="12" t="s">
        <v>81</v>
      </c>
      <c r="G153" s="12" t="s">
        <v>170</v>
      </c>
      <c r="H153" s="12" t="s">
        <v>1494</v>
      </c>
      <c r="I153" s="15" t="s">
        <v>1495</v>
      </c>
    </row>
    <row r="154" customFormat="false" ht="23.85" hidden="false" customHeight="false" outlineLevel="0" collapsed="false">
      <c r="A154" s="12" t="s">
        <v>135</v>
      </c>
      <c r="B154" s="13" t="s">
        <v>1529</v>
      </c>
      <c r="C154" s="13" t="n">
        <v>6</v>
      </c>
      <c r="D154" s="13" t="n">
        <v>2</v>
      </c>
      <c r="E154" s="13" t="n">
        <v>2</v>
      </c>
      <c r="F154" s="12" t="s">
        <v>81</v>
      </c>
      <c r="G154" s="12" t="s">
        <v>145</v>
      </c>
      <c r="H154" s="12" t="s">
        <v>1537</v>
      </c>
      <c r="I154" s="15" t="s">
        <v>1538</v>
      </c>
    </row>
    <row r="155" customFormat="false" ht="23.85" hidden="false" customHeight="false" outlineLevel="0" collapsed="false">
      <c r="A155" s="12" t="s">
        <v>135</v>
      </c>
      <c r="B155" s="13" t="s">
        <v>1529</v>
      </c>
      <c r="C155" s="13" t="s">
        <v>1186</v>
      </c>
      <c r="D155" s="13" t="s">
        <v>1186</v>
      </c>
      <c r="E155" s="13" t="s">
        <v>1186</v>
      </c>
      <c r="F155" s="12" t="s">
        <v>81</v>
      </c>
      <c r="G155" s="12" t="s">
        <v>1539</v>
      </c>
      <c r="H155" s="12" t="s">
        <v>1540</v>
      </c>
      <c r="I155" s="15" t="s">
        <v>1541</v>
      </c>
    </row>
    <row r="156" customFormat="false" ht="23.85" hidden="false" customHeight="false" outlineLevel="0" collapsed="false">
      <c r="A156" s="12" t="s">
        <v>135</v>
      </c>
      <c r="B156" s="13" t="s">
        <v>1529</v>
      </c>
      <c r="C156" s="13" t="s">
        <v>1186</v>
      </c>
      <c r="D156" s="13"/>
      <c r="E156" s="13"/>
      <c r="F156" s="12" t="s">
        <v>81</v>
      </c>
      <c r="G156" s="12" t="s">
        <v>170</v>
      </c>
      <c r="H156" s="12" t="s">
        <v>1494</v>
      </c>
      <c r="I156" s="15" t="s">
        <v>1495</v>
      </c>
    </row>
    <row r="157" customFormat="false" ht="23.85" hidden="false" customHeight="false" outlineLevel="0" collapsed="false">
      <c r="A157" s="12" t="s">
        <v>135</v>
      </c>
      <c r="B157" s="13" t="s">
        <v>1530</v>
      </c>
      <c r="C157" s="13"/>
      <c r="D157" s="13" t="n">
        <v>1</v>
      </c>
      <c r="E157" s="13"/>
      <c r="F157" s="12" t="s">
        <v>82</v>
      </c>
      <c r="G157" s="12" t="s">
        <v>145</v>
      </c>
      <c r="H157" s="12" t="s">
        <v>1537</v>
      </c>
      <c r="I157" s="15" t="s">
        <v>1538</v>
      </c>
    </row>
    <row r="158" customFormat="false" ht="23.85" hidden="false" customHeight="false" outlineLevel="0" collapsed="false">
      <c r="A158" s="12" t="s">
        <v>135</v>
      </c>
      <c r="B158" s="13" t="s">
        <v>1545</v>
      </c>
      <c r="C158" s="13" t="s">
        <v>1186</v>
      </c>
      <c r="D158" s="13"/>
      <c r="E158" s="13"/>
      <c r="F158" s="12" t="s">
        <v>81</v>
      </c>
      <c r="G158" s="12" t="s">
        <v>170</v>
      </c>
      <c r="H158" s="12" t="s">
        <v>1494</v>
      </c>
      <c r="I158" s="15" t="s">
        <v>1495</v>
      </c>
    </row>
    <row r="159" customFormat="false" ht="23.85" hidden="false" customHeight="false" outlineLevel="0" collapsed="false">
      <c r="A159" s="12" t="s">
        <v>1546</v>
      </c>
      <c r="B159" s="13" t="s">
        <v>377</v>
      </c>
      <c r="C159" s="13" t="s">
        <v>1186</v>
      </c>
      <c r="D159" s="13"/>
      <c r="E159" s="13"/>
      <c r="F159" s="12" t="s">
        <v>81</v>
      </c>
      <c r="G159" s="12" t="s">
        <v>170</v>
      </c>
      <c r="H159" s="12" t="s">
        <v>1494</v>
      </c>
      <c r="I159" s="15" t="s">
        <v>1495</v>
      </c>
    </row>
    <row r="160" customFormat="false" ht="23.85" hidden="false" customHeight="false" outlineLevel="0" collapsed="false">
      <c r="A160" s="12" t="s">
        <v>1546</v>
      </c>
      <c r="B160" s="13" t="s">
        <v>305</v>
      </c>
      <c r="C160" s="13"/>
      <c r="D160" s="13"/>
      <c r="E160" s="13" t="s">
        <v>1186</v>
      </c>
      <c r="F160" s="12" t="s">
        <v>83</v>
      </c>
      <c r="G160" s="12" t="s">
        <v>170</v>
      </c>
      <c r="H160" s="12" t="s">
        <v>1494</v>
      </c>
      <c r="I160" s="15" t="s">
        <v>1495</v>
      </c>
    </row>
    <row r="161" customFormat="false" ht="23.85" hidden="false" customHeight="false" outlineLevel="0" collapsed="false">
      <c r="A161" s="12" t="s">
        <v>1547</v>
      </c>
      <c r="B161" s="13" t="s">
        <v>249</v>
      </c>
      <c r="C161" s="13"/>
      <c r="D161" s="13"/>
      <c r="E161" s="13" t="s">
        <v>1186</v>
      </c>
      <c r="F161" s="12" t="s">
        <v>83</v>
      </c>
      <c r="G161" s="12" t="s">
        <v>170</v>
      </c>
      <c r="H161" s="12" t="s">
        <v>1494</v>
      </c>
      <c r="I161" s="15" t="s">
        <v>1495</v>
      </c>
    </row>
    <row r="162" customFormat="false" ht="23.85" hidden="false" customHeight="false" outlineLevel="0" collapsed="false">
      <c r="A162" s="12" t="s">
        <v>1547</v>
      </c>
      <c r="B162" s="13" t="s">
        <v>256</v>
      </c>
      <c r="C162" s="13"/>
      <c r="D162" s="13"/>
      <c r="E162" s="13" t="s">
        <v>1186</v>
      </c>
      <c r="F162" s="12" t="s">
        <v>83</v>
      </c>
      <c r="G162" s="12" t="s">
        <v>170</v>
      </c>
      <c r="H162" s="12" t="s">
        <v>1494</v>
      </c>
      <c r="I162" s="15" t="s">
        <v>1495</v>
      </c>
    </row>
    <row r="163" customFormat="false" ht="23.85" hidden="false" customHeight="false" outlineLevel="0" collapsed="false">
      <c r="A163" s="12" t="s">
        <v>1547</v>
      </c>
      <c r="B163" s="13" t="s">
        <v>1501</v>
      </c>
      <c r="C163" s="13" t="s">
        <v>1186</v>
      </c>
      <c r="D163" s="13"/>
      <c r="E163" s="13" t="s">
        <v>1186</v>
      </c>
      <c r="F163" s="12" t="s">
        <v>1499</v>
      </c>
      <c r="G163" s="12" t="s">
        <v>170</v>
      </c>
      <c r="H163" s="12" t="s">
        <v>1494</v>
      </c>
      <c r="I163" s="15" t="s">
        <v>1495</v>
      </c>
    </row>
    <row r="164" customFormat="false" ht="23.85" hidden="false" customHeight="false" outlineLevel="0" collapsed="false">
      <c r="A164" s="12" t="s">
        <v>1547</v>
      </c>
      <c r="B164" s="13" t="s">
        <v>490</v>
      </c>
      <c r="C164" s="13"/>
      <c r="D164" s="13"/>
      <c r="E164" s="13" t="s">
        <v>1186</v>
      </c>
      <c r="F164" s="12" t="s">
        <v>83</v>
      </c>
      <c r="G164" s="12" t="s">
        <v>170</v>
      </c>
      <c r="H164" s="12" t="s">
        <v>1494</v>
      </c>
      <c r="I164" s="15" t="s">
        <v>1495</v>
      </c>
    </row>
    <row r="165" customFormat="false" ht="23.85" hidden="false" customHeight="false" outlineLevel="0" collapsed="false">
      <c r="A165" s="12" t="s">
        <v>1547</v>
      </c>
      <c r="B165" s="13" t="s">
        <v>367</v>
      </c>
      <c r="C165" s="13"/>
      <c r="D165" s="13"/>
      <c r="E165" s="13" t="s">
        <v>1186</v>
      </c>
      <c r="F165" s="12" t="s">
        <v>83</v>
      </c>
      <c r="G165" s="12" t="s">
        <v>170</v>
      </c>
      <c r="H165" s="12" t="s">
        <v>1494</v>
      </c>
      <c r="I165" s="15" t="s">
        <v>1495</v>
      </c>
    </row>
    <row r="166" customFormat="false" ht="23.85" hidden="false" customHeight="false" outlineLevel="0" collapsed="false">
      <c r="A166" s="12" t="s">
        <v>1547</v>
      </c>
      <c r="B166" s="13" t="s">
        <v>1521</v>
      </c>
      <c r="C166" s="13"/>
      <c r="D166" s="13"/>
      <c r="E166" s="13" t="s">
        <v>1186</v>
      </c>
      <c r="F166" s="12" t="s">
        <v>83</v>
      </c>
      <c r="G166" s="12" t="s">
        <v>170</v>
      </c>
      <c r="H166" s="12" t="s">
        <v>1494</v>
      </c>
      <c r="I166" s="15" t="s">
        <v>1495</v>
      </c>
    </row>
    <row r="167" customFormat="false" ht="23.85" hidden="false" customHeight="false" outlineLevel="0" collapsed="false">
      <c r="A167" s="12" t="s">
        <v>1547</v>
      </c>
      <c r="B167" s="13" t="s">
        <v>377</v>
      </c>
      <c r="C167" s="13"/>
      <c r="D167" s="13"/>
      <c r="E167" s="13" t="s">
        <v>1186</v>
      </c>
      <c r="F167" s="12" t="s">
        <v>83</v>
      </c>
      <c r="G167" s="12" t="s">
        <v>170</v>
      </c>
      <c r="H167" s="12" t="s">
        <v>1494</v>
      </c>
      <c r="I167" s="15" t="s">
        <v>1495</v>
      </c>
    </row>
    <row r="168" customFormat="false" ht="23.85" hidden="false" customHeight="false" outlineLevel="0" collapsed="false">
      <c r="A168" s="12" t="s">
        <v>1547</v>
      </c>
      <c r="B168" s="13" t="s">
        <v>305</v>
      </c>
      <c r="C168" s="13" t="s">
        <v>1186</v>
      </c>
      <c r="D168" s="13"/>
      <c r="E168" s="13"/>
      <c r="F168" s="12" t="s">
        <v>81</v>
      </c>
      <c r="G168" s="12" t="s">
        <v>170</v>
      </c>
      <c r="H168" s="12" t="s">
        <v>1494</v>
      </c>
      <c r="I168" s="15" t="s">
        <v>1495</v>
      </c>
    </row>
    <row r="169" customFormat="false" ht="23.85" hidden="false" customHeight="false" outlineLevel="0" collapsed="false">
      <c r="A169" s="12" t="s">
        <v>1547</v>
      </c>
      <c r="B169" s="13" t="s">
        <v>316</v>
      </c>
      <c r="C169" s="13" t="s">
        <v>1186</v>
      </c>
      <c r="D169" s="13"/>
      <c r="E169" s="13" t="s">
        <v>1186</v>
      </c>
      <c r="F169" s="12" t="s">
        <v>1499</v>
      </c>
      <c r="G169" s="12" t="s">
        <v>170</v>
      </c>
      <c r="H169" s="12" t="s">
        <v>1494</v>
      </c>
      <c r="I169" s="15" t="s">
        <v>1495</v>
      </c>
    </row>
    <row r="170" customFormat="false" ht="23.85" hidden="false" customHeight="false" outlineLevel="0" collapsed="false">
      <c r="A170" s="12" t="s">
        <v>1548</v>
      </c>
      <c r="B170" s="13" t="s">
        <v>256</v>
      </c>
      <c r="C170" s="13"/>
      <c r="D170" s="13" t="s">
        <v>1186</v>
      </c>
      <c r="E170" s="13"/>
      <c r="F170" s="12" t="s">
        <v>82</v>
      </c>
      <c r="G170" s="12" t="s">
        <v>170</v>
      </c>
      <c r="H170" s="12" t="s">
        <v>1494</v>
      </c>
      <c r="I170" s="15" t="s">
        <v>1495</v>
      </c>
    </row>
    <row r="171" customFormat="false" ht="23.85" hidden="false" customHeight="false" outlineLevel="0" collapsed="false">
      <c r="A171" s="12" t="s">
        <v>1548</v>
      </c>
      <c r="B171" s="13" t="s">
        <v>367</v>
      </c>
      <c r="C171" s="13"/>
      <c r="D171" s="13" t="s">
        <v>1186</v>
      </c>
      <c r="E171" s="13"/>
      <c r="F171" s="12" t="s">
        <v>82</v>
      </c>
      <c r="G171" s="12" t="s">
        <v>170</v>
      </c>
      <c r="H171" s="12" t="s">
        <v>1494</v>
      </c>
      <c r="I171" s="15" t="s">
        <v>1495</v>
      </c>
    </row>
    <row r="172" customFormat="false" ht="23.85" hidden="false" customHeight="false" outlineLevel="0" collapsed="false">
      <c r="A172" s="12" t="s">
        <v>1548</v>
      </c>
      <c r="B172" s="13" t="s">
        <v>305</v>
      </c>
      <c r="C172" s="13"/>
      <c r="D172" s="13" t="s">
        <v>1186</v>
      </c>
      <c r="E172" s="13"/>
      <c r="F172" s="12" t="s">
        <v>82</v>
      </c>
      <c r="G172" s="12" t="s">
        <v>170</v>
      </c>
      <c r="H172" s="12" t="s">
        <v>1494</v>
      </c>
      <c r="I172" s="15" t="s">
        <v>1495</v>
      </c>
    </row>
    <row r="173" customFormat="false" ht="23.85" hidden="false" customHeight="false" outlineLevel="0" collapsed="false">
      <c r="A173" s="12" t="s">
        <v>1548</v>
      </c>
      <c r="B173" s="13" t="s">
        <v>381</v>
      </c>
      <c r="C173" s="13"/>
      <c r="D173" s="13" t="s">
        <v>1186</v>
      </c>
      <c r="E173" s="13"/>
      <c r="F173" s="12" t="s">
        <v>82</v>
      </c>
      <c r="G173" s="12" t="s">
        <v>170</v>
      </c>
      <c r="H173" s="12" t="s">
        <v>1494</v>
      </c>
      <c r="I173" s="15" t="s">
        <v>1495</v>
      </c>
    </row>
    <row r="174" customFormat="false" ht="23.85" hidden="false" customHeight="false" outlineLevel="0" collapsed="false">
      <c r="A174" s="12" t="s">
        <v>1548</v>
      </c>
      <c r="B174" s="13" t="s">
        <v>1528</v>
      </c>
      <c r="C174" s="13"/>
      <c r="D174" s="13" t="s">
        <v>1186</v>
      </c>
      <c r="E174" s="13"/>
      <c r="F174" s="12" t="s">
        <v>82</v>
      </c>
      <c r="G174" s="12" t="s">
        <v>170</v>
      </c>
      <c r="H174" s="12" t="s">
        <v>1494</v>
      </c>
      <c r="I174" s="15" t="s">
        <v>1495</v>
      </c>
    </row>
    <row r="175" customFormat="false" ht="23.85" hidden="false" customHeight="false" outlineLevel="0" collapsed="false">
      <c r="A175" s="12" t="s">
        <v>1549</v>
      </c>
      <c r="B175" s="13" t="s">
        <v>1503</v>
      </c>
      <c r="C175" s="13" t="s">
        <v>1186</v>
      </c>
      <c r="D175" s="13"/>
      <c r="E175" s="13"/>
      <c r="F175" s="12" t="s">
        <v>81</v>
      </c>
      <c r="G175" s="12" t="s">
        <v>170</v>
      </c>
      <c r="H175" s="12" t="s">
        <v>1494</v>
      </c>
      <c r="I175" s="15" t="s">
        <v>1495</v>
      </c>
    </row>
    <row r="176" customFormat="false" ht="23.85" hidden="false" customHeight="false" outlineLevel="0" collapsed="false">
      <c r="A176" s="12" t="s">
        <v>1549</v>
      </c>
      <c r="B176" s="13" t="s">
        <v>1507</v>
      </c>
      <c r="C176" s="13" t="s">
        <v>1186</v>
      </c>
      <c r="D176" s="13"/>
      <c r="E176" s="13"/>
      <c r="F176" s="12" t="s">
        <v>81</v>
      </c>
      <c r="G176" s="12" t="s">
        <v>170</v>
      </c>
      <c r="H176" s="12" t="s">
        <v>1494</v>
      </c>
      <c r="I176" s="15" t="s">
        <v>1495</v>
      </c>
    </row>
    <row r="177" customFormat="false" ht="23.85" hidden="false" customHeight="false" outlineLevel="0" collapsed="false">
      <c r="A177" s="12" t="s">
        <v>1549</v>
      </c>
      <c r="B177" s="13" t="s">
        <v>249</v>
      </c>
      <c r="C177" s="13" t="s">
        <v>1186</v>
      </c>
      <c r="D177" s="13"/>
      <c r="E177" s="13"/>
      <c r="F177" s="12" t="s">
        <v>81</v>
      </c>
      <c r="G177" s="12" t="s">
        <v>170</v>
      </c>
      <c r="H177" s="12" t="s">
        <v>1494</v>
      </c>
      <c r="I177" s="15" t="s">
        <v>1495</v>
      </c>
    </row>
    <row r="178" customFormat="false" ht="23.85" hidden="false" customHeight="false" outlineLevel="0" collapsed="false">
      <c r="A178" s="12" t="s">
        <v>1549</v>
      </c>
      <c r="B178" s="13" t="s">
        <v>1501</v>
      </c>
      <c r="C178" s="13" t="s">
        <v>1186</v>
      </c>
      <c r="D178" s="13"/>
      <c r="E178" s="13"/>
      <c r="F178" s="12" t="s">
        <v>81</v>
      </c>
      <c r="G178" s="12" t="s">
        <v>170</v>
      </c>
      <c r="H178" s="12" t="s">
        <v>1494</v>
      </c>
      <c r="I178" s="15" t="s">
        <v>1495</v>
      </c>
    </row>
    <row r="179" customFormat="false" ht="23.85" hidden="false" customHeight="false" outlineLevel="0" collapsed="false">
      <c r="A179" s="12" t="s">
        <v>379</v>
      </c>
      <c r="B179" s="13" t="s">
        <v>381</v>
      </c>
      <c r="C179" s="13"/>
      <c r="D179" s="13" t="s">
        <v>1186</v>
      </c>
      <c r="E179" s="13"/>
      <c r="F179" s="12" t="s">
        <v>82</v>
      </c>
      <c r="G179" s="12" t="s">
        <v>170</v>
      </c>
      <c r="H179" s="12" t="s">
        <v>1494</v>
      </c>
      <c r="I179" s="15" t="s">
        <v>1495</v>
      </c>
    </row>
    <row r="180" customFormat="false" ht="23.85" hidden="false" customHeight="false" outlineLevel="0" collapsed="false">
      <c r="A180" s="12" t="s">
        <v>1550</v>
      </c>
      <c r="B180" s="13" t="s">
        <v>442</v>
      </c>
      <c r="C180" s="13" t="s">
        <v>1186</v>
      </c>
      <c r="D180" s="13"/>
      <c r="E180" s="13"/>
      <c r="F180" s="12" t="s">
        <v>81</v>
      </c>
      <c r="G180" s="12" t="s">
        <v>170</v>
      </c>
      <c r="H180" s="12" t="s">
        <v>1494</v>
      </c>
      <c r="I180" s="15" t="s">
        <v>1495</v>
      </c>
    </row>
    <row r="181" customFormat="false" ht="23.85" hidden="false" customHeight="false" outlineLevel="0" collapsed="false">
      <c r="A181" s="12" t="s">
        <v>1550</v>
      </c>
      <c r="B181" s="13" t="s">
        <v>490</v>
      </c>
      <c r="C181" s="13" t="s">
        <v>1186</v>
      </c>
      <c r="D181" s="13"/>
      <c r="E181" s="13"/>
      <c r="F181" s="12" t="s">
        <v>81</v>
      </c>
      <c r="G181" s="12" t="s">
        <v>170</v>
      </c>
      <c r="H181" s="12" t="s">
        <v>1494</v>
      </c>
      <c r="I181" s="15" t="s">
        <v>1495</v>
      </c>
    </row>
    <row r="182" customFormat="false" ht="23.85" hidden="false" customHeight="false" outlineLevel="0" collapsed="false">
      <c r="A182" s="12" t="s">
        <v>1551</v>
      </c>
      <c r="B182" s="13" t="s">
        <v>249</v>
      </c>
      <c r="C182" s="13" t="s">
        <v>1186</v>
      </c>
      <c r="D182" s="13"/>
      <c r="E182" s="13"/>
      <c r="F182" s="12" t="s">
        <v>81</v>
      </c>
      <c r="G182" s="12" t="s">
        <v>170</v>
      </c>
      <c r="H182" s="12" t="s">
        <v>1494</v>
      </c>
      <c r="I182" s="15" t="s">
        <v>1495</v>
      </c>
    </row>
    <row r="183" customFormat="false" ht="23.85" hidden="false" customHeight="false" outlineLevel="0" collapsed="false">
      <c r="A183" s="12" t="s">
        <v>1551</v>
      </c>
      <c r="B183" s="13" t="s">
        <v>256</v>
      </c>
      <c r="C183" s="13"/>
      <c r="D183" s="13"/>
      <c r="E183" s="13" t="s">
        <v>1186</v>
      </c>
      <c r="F183" s="12" t="s">
        <v>83</v>
      </c>
      <c r="G183" s="12" t="s">
        <v>170</v>
      </c>
      <c r="H183" s="12" t="s">
        <v>1494</v>
      </c>
      <c r="I183" s="15" t="s">
        <v>1495</v>
      </c>
    </row>
    <row r="184" customFormat="false" ht="23.85" hidden="false" customHeight="false" outlineLevel="0" collapsed="false">
      <c r="A184" s="12" t="s">
        <v>1551</v>
      </c>
      <c r="B184" s="13" t="s">
        <v>445</v>
      </c>
      <c r="C184" s="13"/>
      <c r="D184" s="13"/>
      <c r="E184" s="13" t="s">
        <v>1186</v>
      </c>
      <c r="F184" s="12" t="s">
        <v>83</v>
      </c>
      <c r="G184" s="12" t="s">
        <v>170</v>
      </c>
      <c r="H184" s="12" t="s">
        <v>1494</v>
      </c>
      <c r="I184" s="15" t="s">
        <v>1495</v>
      </c>
    </row>
    <row r="185" customFormat="false" ht="23.85" hidden="false" customHeight="false" outlineLevel="0" collapsed="false">
      <c r="A185" s="12" t="s">
        <v>1551</v>
      </c>
      <c r="B185" s="13" t="s">
        <v>1515</v>
      </c>
      <c r="C185" s="13"/>
      <c r="D185" s="13"/>
      <c r="E185" s="13" t="s">
        <v>1186</v>
      </c>
      <c r="F185" s="12" t="s">
        <v>83</v>
      </c>
      <c r="G185" s="12" t="s">
        <v>170</v>
      </c>
      <c r="H185" s="12" t="s">
        <v>1494</v>
      </c>
      <c r="I185" s="15" t="s">
        <v>1495</v>
      </c>
    </row>
    <row r="186" customFormat="false" ht="23.85" hidden="false" customHeight="false" outlineLevel="0" collapsed="false">
      <c r="A186" s="12" t="s">
        <v>1552</v>
      </c>
      <c r="B186" s="13" t="s">
        <v>316</v>
      </c>
      <c r="C186" s="13" t="s">
        <v>1186</v>
      </c>
      <c r="D186" s="13"/>
      <c r="E186" s="13"/>
      <c r="F186" s="12" t="s">
        <v>81</v>
      </c>
      <c r="G186" s="12" t="s">
        <v>170</v>
      </c>
      <c r="H186" s="12" t="s">
        <v>1494</v>
      </c>
      <c r="I186" s="15" t="s">
        <v>1495</v>
      </c>
    </row>
    <row r="187" customFormat="false" ht="23.85" hidden="false" customHeight="false" outlineLevel="0" collapsed="false">
      <c r="A187" s="12" t="s">
        <v>146</v>
      </c>
      <c r="B187" s="13" t="s">
        <v>1511</v>
      </c>
      <c r="C187" s="13" t="s">
        <v>1186</v>
      </c>
      <c r="D187" s="13" t="s">
        <v>1186</v>
      </c>
      <c r="E187" s="13" t="s">
        <v>1186</v>
      </c>
      <c r="F187" s="12" t="s">
        <v>1553</v>
      </c>
      <c r="G187" s="12" t="s">
        <v>170</v>
      </c>
      <c r="H187" s="12" t="s">
        <v>1494</v>
      </c>
      <c r="I187" s="15" t="s">
        <v>1495</v>
      </c>
    </row>
    <row r="188" customFormat="false" ht="23.85" hidden="false" customHeight="false" outlineLevel="0" collapsed="false">
      <c r="A188" s="12" t="s">
        <v>146</v>
      </c>
      <c r="B188" s="13" t="s">
        <v>1501</v>
      </c>
      <c r="C188" s="13"/>
      <c r="D188" s="13" t="s">
        <v>1186</v>
      </c>
      <c r="E188" s="13"/>
      <c r="F188" s="12" t="s">
        <v>82</v>
      </c>
      <c r="G188" s="12" t="s">
        <v>170</v>
      </c>
      <c r="H188" s="12" t="s">
        <v>1494</v>
      </c>
      <c r="I188" s="15" t="s">
        <v>1495</v>
      </c>
    </row>
    <row r="189" customFormat="false" ht="23.85" hidden="false" customHeight="false" outlineLevel="0" collapsed="false">
      <c r="A189" s="12" t="s">
        <v>146</v>
      </c>
      <c r="B189" s="13" t="s">
        <v>1512</v>
      </c>
      <c r="C189" s="13" t="s">
        <v>1186</v>
      </c>
      <c r="D189" s="13" t="s">
        <v>1186</v>
      </c>
      <c r="E189" s="13" t="s">
        <v>1186</v>
      </c>
      <c r="F189" s="12" t="s">
        <v>1553</v>
      </c>
      <c r="G189" s="12" t="s">
        <v>170</v>
      </c>
      <c r="H189" s="12" t="s">
        <v>1494</v>
      </c>
      <c r="I189" s="15" t="s">
        <v>1495</v>
      </c>
    </row>
    <row r="190" customFormat="false" ht="23.85" hidden="false" customHeight="false" outlineLevel="0" collapsed="false">
      <c r="A190" s="12" t="s">
        <v>146</v>
      </c>
      <c r="B190" s="13" t="s">
        <v>445</v>
      </c>
      <c r="C190" s="13"/>
      <c r="D190" s="13" t="s">
        <v>1186</v>
      </c>
      <c r="E190" s="13"/>
      <c r="F190" s="12" t="s">
        <v>82</v>
      </c>
      <c r="G190" s="12" t="s">
        <v>170</v>
      </c>
      <c r="H190" s="12" t="s">
        <v>1494</v>
      </c>
      <c r="I190" s="15" t="s">
        <v>1495</v>
      </c>
    </row>
    <row r="191" customFormat="false" ht="23.85" hidden="false" customHeight="false" outlineLevel="0" collapsed="false">
      <c r="A191" s="12" t="s">
        <v>146</v>
      </c>
      <c r="B191" s="13" t="s">
        <v>255</v>
      </c>
      <c r="C191" s="13" t="s">
        <v>1186</v>
      </c>
      <c r="D191" s="13" t="s">
        <v>1186</v>
      </c>
      <c r="E191" s="13" t="s">
        <v>1186</v>
      </c>
      <c r="F191" s="12" t="s">
        <v>1553</v>
      </c>
      <c r="G191" s="12" t="s">
        <v>170</v>
      </c>
      <c r="H191" s="12" t="s">
        <v>1494</v>
      </c>
      <c r="I191" s="15" t="s">
        <v>1495</v>
      </c>
    </row>
    <row r="192" customFormat="false" ht="23.85" hidden="false" customHeight="false" outlineLevel="0" collapsed="false">
      <c r="A192" s="12" t="s">
        <v>146</v>
      </c>
      <c r="B192" s="13" t="s">
        <v>367</v>
      </c>
      <c r="C192" s="13" t="s">
        <v>1186</v>
      </c>
      <c r="D192" s="13" t="s">
        <v>1186</v>
      </c>
      <c r="E192" s="13" t="s">
        <v>1186</v>
      </c>
      <c r="F192" s="12" t="s">
        <v>1553</v>
      </c>
      <c r="G192" s="12" t="s">
        <v>170</v>
      </c>
      <c r="H192" s="12" t="s">
        <v>1494</v>
      </c>
      <c r="I192" s="15" t="s">
        <v>1495</v>
      </c>
    </row>
    <row r="193" customFormat="false" ht="23.85" hidden="false" customHeight="false" outlineLevel="0" collapsed="false">
      <c r="A193" s="12" t="s">
        <v>146</v>
      </c>
      <c r="B193" s="13" t="s">
        <v>1523</v>
      </c>
      <c r="C193" s="13" t="s">
        <v>1186</v>
      </c>
      <c r="D193" s="13"/>
      <c r="E193" s="13"/>
      <c r="F193" s="12" t="s">
        <v>81</v>
      </c>
      <c r="G193" s="12" t="s">
        <v>170</v>
      </c>
      <c r="H193" s="12" t="s">
        <v>1494</v>
      </c>
      <c r="I193" s="15" t="s">
        <v>1495</v>
      </c>
    </row>
    <row r="194" customFormat="false" ht="23.85" hidden="false" customHeight="false" outlineLevel="0" collapsed="false">
      <c r="A194" s="12" t="s">
        <v>146</v>
      </c>
      <c r="B194" s="13" t="s">
        <v>316</v>
      </c>
      <c r="C194" s="13" t="s">
        <v>1186</v>
      </c>
      <c r="D194" s="13" t="s">
        <v>1186</v>
      </c>
      <c r="E194" s="13" t="s">
        <v>1186</v>
      </c>
      <c r="F194" s="12" t="s">
        <v>1553</v>
      </c>
      <c r="G194" s="12" t="s">
        <v>170</v>
      </c>
      <c r="H194" s="12" t="s">
        <v>1494</v>
      </c>
      <c r="I194" s="15" t="s">
        <v>1495</v>
      </c>
    </row>
    <row r="195" customFormat="false" ht="23.85" hidden="false" customHeight="false" outlineLevel="0" collapsed="false">
      <c r="A195" s="12" t="s">
        <v>146</v>
      </c>
      <c r="B195" s="13" t="s">
        <v>1528</v>
      </c>
      <c r="C195" s="13" t="s">
        <v>1186</v>
      </c>
      <c r="D195" s="13" t="s">
        <v>1186</v>
      </c>
      <c r="E195" s="13" t="s">
        <v>1186</v>
      </c>
      <c r="F195" s="12" t="s">
        <v>1553</v>
      </c>
      <c r="G195" s="12" t="s">
        <v>170</v>
      </c>
      <c r="H195" s="12" t="s">
        <v>1494</v>
      </c>
      <c r="I195" s="15" t="s">
        <v>1495</v>
      </c>
    </row>
    <row r="196" customFormat="false" ht="23.85" hidden="false" customHeight="false" outlineLevel="0" collapsed="false">
      <c r="A196" s="12" t="s">
        <v>146</v>
      </c>
      <c r="B196" s="13" t="s">
        <v>1529</v>
      </c>
      <c r="C196" s="13" t="s">
        <v>1186</v>
      </c>
      <c r="D196" s="13" t="s">
        <v>1186</v>
      </c>
      <c r="E196" s="13"/>
      <c r="F196" s="12" t="s">
        <v>1518</v>
      </c>
      <c r="G196" s="12" t="s">
        <v>170</v>
      </c>
      <c r="H196" s="12" t="s">
        <v>1494</v>
      </c>
      <c r="I196" s="15" t="s">
        <v>1495</v>
      </c>
    </row>
    <row r="197" customFormat="false" ht="23.85" hidden="false" customHeight="false" outlineLevel="0" collapsed="false">
      <c r="A197" s="12" t="s">
        <v>1554</v>
      </c>
      <c r="B197" s="13" t="s">
        <v>305</v>
      </c>
      <c r="C197" s="13"/>
      <c r="D197" s="13"/>
      <c r="E197" s="13" t="s">
        <v>1186</v>
      </c>
      <c r="F197" s="12" t="s">
        <v>83</v>
      </c>
      <c r="G197" s="12" t="s">
        <v>170</v>
      </c>
      <c r="H197" s="12" t="s">
        <v>1494</v>
      </c>
      <c r="I197" s="15" t="s">
        <v>1495</v>
      </c>
    </row>
    <row r="198" customFormat="false" ht="23.85" hidden="false" customHeight="false" outlineLevel="0" collapsed="false">
      <c r="A198" s="12" t="s">
        <v>1555</v>
      </c>
      <c r="B198" s="13" t="s">
        <v>255</v>
      </c>
      <c r="C198" s="13" t="s">
        <v>1186</v>
      </c>
      <c r="D198" s="13"/>
      <c r="E198" s="13"/>
      <c r="F198" s="12" t="s">
        <v>81</v>
      </c>
      <c r="G198" s="12" t="s">
        <v>170</v>
      </c>
      <c r="H198" s="12" t="s">
        <v>1494</v>
      </c>
      <c r="I198" s="15" t="s">
        <v>1495</v>
      </c>
    </row>
    <row r="199" customFormat="false" ht="23.85" hidden="false" customHeight="false" outlineLevel="0" collapsed="false">
      <c r="A199" s="12" t="s">
        <v>1201</v>
      </c>
      <c r="B199" s="13" t="s">
        <v>249</v>
      </c>
      <c r="C199" s="13" t="s">
        <v>1186</v>
      </c>
      <c r="D199" s="13" t="s">
        <v>1186</v>
      </c>
      <c r="E199" s="13"/>
      <c r="F199" s="12" t="s">
        <v>1518</v>
      </c>
      <c r="G199" s="12" t="s">
        <v>170</v>
      </c>
      <c r="H199" s="12" t="s">
        <v>1494</v>
      </c>
      <c r="I199" s="15" t="s">
        <v>1495</v>
      </c>
    </row>
    <row r="200" customFormat="false" ht="23.85" hidden="false" customHeight="false" outlineLevel="0" collapsed="false">
      <c r="A200" s="12" t="s">
        <v>1201</v>
      </c>
      <c r="B200" s="13" t="s">
        <v>1509</v>
      </c>
      <c r="C200" s="13" t="s">
        <v>1186</v>
      </c>
      <c r="D200" s="13"/>
      <c r="E200" s="13"/>
      <c r="F200" s="12" t="s">
        <v>81</v>
      </c>
      <c r="G200" s="12" t="s">
        <v>170</v>
      </c>
      <c r="H200" s="12" t="s">
        <v>1494</v>
      </c>
      <c r="I200" s="15" t="s">
        <v>1495</v>
      </c>
    </row>
    <row r="201" customFormat="false" ht="23.85" hidden="false" customHeight="false" outlineLevel="0" collapsed="false">
      <c r="A201" s="12" t="s">
        <v>1201</v>
      </c>
      <c r="B201" s="13" t="s">
        <v>256</v>
      </c>
      <c r="C201" s="13" t="s">
        <v>1186</v>
      </c>
      <c r="D201" s="13" t="s">
        <v>1186</v>
      </c>
      <c r="E201" s="13" t="s">
        <v>1186</v>
      </c>
      <c r="F201" s="12" t="s">
        <v>1553</v>
      </c>
      <c r="G201" s="12" t="s">
        <v>170</v>
      </c>
      <c r="H201" s="12" t="s">
        <v>1494</v>
      </c>
      <c r="I201" s="15" t="s">
        <v>1495</v>
      </c>
    </row>
    <row r="202" customFormat="false" ht="23.85" hidden="false" customHeight="false" outlineLevel="0" collapsed="false">
      <c r="A202" s="12" t="s">
        <v>1201</v>
      </c>
      <c r="B202" s="13" t="s">
        <v>1501</v>
      </c>
      <c r="C202" s="13" t="s">
        <v>1186</v>
      </c>
      <c r="D202" s="13" t="s">
        <v>1186</v>
      </c>
      <c r="E202" s="13" t="s">
        <v>1186</v>
      </c>
      <c r="F202" s="12" t="s">
        <v>1553</v>
      </c>
      <c r="G202" s="12" t="s">
        <v>170</v>
      </c>
      <c r="H202" s="12" t="s">
        <v>1494</v>
      </c>
      <c r="I202" s="15" t="s">
        <v>1495</v>
      </c>
    </row>
    <row r="203" customFormat="false" ht="23.85" hidden="false" customHeight="false" outlineLevel="0" collapsed="false">
      <c r="A203" s="12" t="s">
        <v>1201</v>
      </c>
      <c r="B203" s="13" t="s">
        <v>300</v>
      </c>
      <c r="C203" s="13" t="s">
        <v>1186</v>
      </c>
      <c r="D203" s="13"/>
      <c r="E203" s="13"/>
      <c r="F203" s="12" t="s">
        <v>81</v>
      </c>
      <c r="G203" s="12" t="s">
        <v>170</v>
      </c>
      <c r="H203" s="12" t="s">
        <v>1494</v>
      </c>
      <c r="I203" s="15" t="s">
        <v>1495</v>
      </c>
    </row>
    <row r="204" customFormat="false" ht="23.85" hidden="false" customHeight="false" outlineLevel="0" collapsed="false">
      <c r="A204" s="12" t="s">
        <v>1201</v>
      </c>
      <c r="B204" s="13" t="s">
        <v>442</v>
      </c>
      <c r="C204" s="13" t="s">
        <v>1186</v>
      </c>
      <c r="D204" s="13"/>
      <c r="E204" s="13" t="s">
        <v>1186</v>
      </c>
      <c r="F204" s="12" t="s">
        <v>1499</v>
      </c>
      <c r="G204" s="12" t="s">
        <v>170</v>
      </c>
      <c r="H204" s="12" t="s">
        <v>1494</v>
      </c>
      <c r="I204" s="15" t="s">
        <v>1495</v>
      </c>
    </row>
    <row r="205" customFormat="false" ht="23.85" hidden="false" customHeight="false" outlineLevel="0" collapsed="false">
      <c r="A205" s="12" t="s">
        <v>1201</v>
      </c>
      <c r="B205" s="13" t="s">
        <v>1513</v>
      </c>
      <c r="C205" s="13"/>
      <c r="D205" s="13"/>
      <c r="E205" s="13" t="s">
        <v>1186</v>
      </c>
      <c r="F205" s="12" t="s">
        <v>83</v>
      </c>
      <c r="G205" s="12" t="s">
        <v>170</v>
      </c>
      <c r="H205" s="12" t="s">
        <v>1494</v>
      </c>
      <c r="I205" s="15" t="s">
        <v>1495</v>
      </c>
    </row>
    <row r="206" customFormat="false" ht="23.85" hidden="false" customHeight="false" outlineLevel="0" collapsed="false">
      <c r="A206" s="12" t="s">
        <v>1201</v>
      </c>
      <c r="B206" s="13" t="s">
        <v>255</v>
      </c>
      <c r="C206" s="13" t="s">
        <v>1186</v>
      </c>
      <c r="D206" s="13"/>
      <c r="E206" s="13"/>
      <c r="F206" s="12" t="s">
        <v>81</v>
      </c>
      <c r="G206" s="12" t="s">
        <v>170</v>
      </c>
      <c r="H206" s="12" t="s">
        <v>1494</v>
      </c>
      <c r="I206" s="15" t="s">
        <v>1495</v>
      </c>
    </row>
    <row r="207" customFormat="false" ht="23.85" hidden="false" customHeight="false" outlineLevel="0" collapsed="false">
      <c r="A207" s="12" t="s">
        <v>1201</v>
      </c>
      <c r="B207" s="13" t="s">
        <v>1519</v>
      </c>
      <c r="C207" s="13" t="s">
        <v>1186</v>
      </c>
      <c r="D207" s="13" t="s">
        <v>1186</v>
      </c>
      <c r="E207" s="13" t="s">
        <v>1186</v>
      </c>
      <c r="F207" s="12" t="s">
        <v>1553</v>
      </c>
      <c r="G207" s="12" t="s">
        <v>170</v>
      </c>
      <c r="H207" s="12" t="s">
        <v>1494</v>
      </c>
      <c r="I207" s="15" t="s">
        <v>1495</v>
      </c>
    </row>
    <row r="208" customFormat="false" ht="23.85" hidden="false" customHeight="false" outlineLevel="0" collapsed="false">
      <c r="A208" s="12" t="s">
        <v>1201</v>
      </c>
      <c r="B208" s="13" t="s">
        <v>367</v>
      </c>
      <c r="C208" s="13" t="s">
        <v>1186</v>
      </c>
      <c r="D208" s="13"/>
      <c r="E208" s="13"/>
      <c r="F208" s="12" t="s">
        <v>81</v>
      </c>
      <c r="G208" s="12" t="s">
        <v>170</v>
      </c>
      <c r="H208" s="12" t="s">
        <v>1494</v>
      </c>
      <c r="I208" s="15" t="s">
        <v>1495</v>
      </c>
    </row>
    <row r="209" customFormat="false" ht="23.85" hidden="false" customHeight="false" outlineLevel="0" collapsed="false">
      <c r="A209" s="12" t="s">
        <v>1201</v>
      </c>
      <c r="B209" s="13" t="s">
        <v>1521</v>
      </c>
      <c r="C209" s="13" t="s">
        <v>1186</v>
      </c>
      <c r="D209" s="13"/>
      <c r="E209" s="13" t="s">
        <v>1186</v>
      </c>
      <c r="F209" s="12" t="s">
        <v>1499</v>
      </c>
      <c r="G209" s="12" t="s">
        <v>170</v>
      </c>
      <c r="H209" s="12" t="s">
        <v>1494</v>
      </c>
      <c r="I209" s="15" t="s">
        <v>1495</v>
      </c>
    </row>
    <row r="210" customFormat="false" ht="23.85" hidden="false" customHeight="false" outlineLevel="0" collapsed="false">
      <c r="A210" s="12" t="s">
        <v>1201</v>
      </c>
      <c r="B210" s="13" t="s">
        <v>377</v>
      </c>
      <c r="C210" s="13" t="s">
        <v>1186</v>
      </c>
      <c r="D210" s="13"/>
      <c r="E210" s="13"/>
      <c r="F210" s="12" t="s">
        <v>81</v>
      </c>
      <c r="G210" s="12" t="s">
        <v>170</v>
      </c>
      <c r="H210" s="12" t="s">
        <v>1494</v>
      </c>
      <c r="I210" s="15" t="s">
        <v>1495</v>
      </c>
    </row>
    <row r="211" customFormat="false" ht="23.85" hidden="false" customHeight="false" outlineLevel="0" collapsed="false">
      <c r="A211" s="12" t="s">
        <v>1201</v>
      </c>
      <c r="B211" s="13" t="s">
        <v>1523</v>
      </c>
      <c r="C211" s="13" t="s">
        <v>1186</v>
      </c>
      <c r="D211" s="13"/>
      <c r="E211" s="13" t="s">
        <v>1186</v>
      </c>
      <c r="F211" s="12" t="s">
        <v>1499</v>
      </c>
      <c r="G211" s="12" t="s">
        <v>170</v>
      </c>
      <c r="H211" s="12" t="s">
        <v>1494</v>
      </c>
      <c r="I211" s="15" t="s">
        <v>1495</v>
      </c>
    </row>
    <row r="212" customFormat="false" ht="23.85" hidden="false" customHeight="false" outlineLevel="0" collapsed="false">
      <c r="A212" s="12" t="s">
        <v>1201</v>
      </c>
      <c r="B212" s="13" t="s">
        <v>305</v>
      </c>
      <c r="C212" s="13" t="s">
        <v>1186</v>
      </c>
      <c r="D212" s="13"/>
      <c r="E212" s="13" t="s">
        <v>1186</v>
      </c>
      <c r="F212" s="12" t="s">
        <v>1499</v>
      </c>
      <c r="G212" s="12" t="s">
        <v>170</v>
      </c>
      <c r="H212" s="12" t="s">
        <v>1494</v>
      </c>
      <c r="I212" s="15" t="s">
        <v>1495</v>
      </c>
    </row>
    <row r="213" customFormat="false" ht="23.85" hidden="false" customHeight="false" outlineLevel="0" collapsed="false">
      <c r="A213" s="12" t="s">
        <v>1201</v>
      </c>
      <c r="B213" s="13" t="s">
        <v>316</v>
      </c>
      <c r="C213" s="13" t="s">
        <v>1186</v>
      </c>
      <c r="D213" s="13" t="s">
        <v>1186</v>
      </c>
      <c r="E213" s="13"/>
      <c r="F213" s="12" t="s">
        <v>1518</v>
      </c>
      <c r="G213" s="12" t="s">
        <v>170</v>
      </c>
      <c r="H213" s="12" t="s">
        <v>1494</v>
      </c>
      <c r="I213" s="15" t="s">
        <v>1495</v>
      </c>
    </row>
    <row r="214" customFormat="false" ht="23.85" hidden="false" customHeight="false" outlineLevel="0" collapsed="false">
      <c r="A214" s="12" t="s">
        <v>1201</v>
      </c>
      <c r="B214" s="13" t="s">
        <v>1528</v>
      </c>
      <c r="C214" s="13" t="s">
        <v>1186</v>
      </c>
      <c r="D214" s="13" t="s">
        <v>1186</v>
      </c>
      <c r="E214" s="13" t="s">
        <v>1186</v>
      </c>
      <c r="F214" s="12" t="s">
        <v>1553</v>
      </c>
      <c r="G214" s="12" t="s">
        <v>170</v>
      </c>
      <c r="H214" s="12" t="s">
        <v>1494</v>
      </c>
      <c r="I214" s="15" t="s">
        <v>1495</v>
      </c>
    </row>
    <row r="215" customFormat="false" ht="23.85" hidden="false" customHeight="false" outlineLevel="0" collapsed="false">
      <c r="A215" s="12" t="s">
        <v>1201</v>
      </c>
      <c r="B215" s="13" t="s">
        <v>1529</v>
      </c>
      <c r="C215" s="13" t="s">
        <v>1186</v>
      </c>
      <c r="D215" s="13" t="s">
        <v>1186</v>
      </c>
      <c r="E215" s="13"/>
      <c r="F215" s="12" t="s">
        <v>1518</v>
      </c>
      <c r="G215" s="12" t="s">
        <v>170</v>
      </c>
      <c r="H215" s="12" t="s">
        <v>1494</v>
      </c>
      <c r="I215" s="15" t="s">
        <v>1495</v>
      </c>
    </row>
    <row r="216" customFormat="false" ht="23.85" hidden="false" customHeight="false" outlineLevel="0" collapsed="false">
      <c r="A216" s="12" t="s">
        <v>1556</v>
      </c>
      <c r="B216" s="13" t="s">
        <v>1507</v>
      </c>
      <c r="C216" s="13"/>
      <c r="D216" s="13"/>
      <c r="E216" s="13" t="s">
        <v>1186</v>
      </c>
      <c r="F216" s="12" t="s">
        <v>83</v>
      </c>
      <c r="G216" s="12" t="s">
        <v>170</v>
      </c>
      <c r="H216" s="12" t="s">
        <v>1494</v>
      </c>
      <c r="I216" s="15" t="s">
        <v>1495</v>
      </c>
    </row>
    <row r="217" customFormat="false" ht="23.85" hidden="false" customHeight="false" outlineLevel="0" collapsed="false">
      <c r="A217" s="12" t="s">
        <v>1556</v>
      </c>
      <c r="B217" s="13" t="s">
        <v>249</v>
      </c>
      <c r="C217" s="13" t="s">
        <v>1186</v>
      </c>
      <c r="D217" s="13" t="s">
        <v>1186</v>
      </c>
      <c r="E217" s="13"/>
      <c r="F217" s="12" t="s">
        <v>1518</v>
      </c>
      <c r="G217" s="12" t="s">
        <v>170</v>
      </c>
      <c r="H217" s="12" t="s">
        <v>1494</v>
      </c>
      <c r="I217" s="15" t="s">
        <v>1495</v>
      </c>
    </row>
    <row r="218" customFormat="false" ht="23.85" hidden="false" customHeight="false" outlineLevel="0" collapsed="false">
      <c r="A218" s="12" t="s">
        <v>1556</v>
      </c>
      <c r="B218" s="13" t="s">
        <v>1511</v>
      </c>
      <c r="C218" s="13"/>
      <c r="D218" s="13" t="s">
        <v>1186</v>
      </c>
      <c r="E218" s="13"/>
      <c r="F218" s="12" t="s">
        <v>82</v>
      </c>
      <c r="G218" s="12" t="s">
        <v>170</v>
      </c>
      <c r="H218" s="12" t="s">
        <v>1494</v>
      </c>
      <c r="I218" s="15" t="s">
        <v>1495</v>
      </c>
    </row>
    <row r="219" customFormat="false" ht="23.85" hidden="false" customHeight="false" outlineLevel="0" collapsed="false">
      <c r="A219" s="12" t="s">
        <v>1556</v>
      </c>
      <c r="B219" s="13" t="s">
        <v>256</v>
      </c>
      <c r="C219" s="13" t="s">
        <v>1186</v>
      </c>
      <c r="D219" s="13" t="s">
        <v>1186</v>
      </c>
      <c r="E219" s="13"/>
      <c r="F219" s="12" t="s">
        <v>1518</v>
      </c>
      <c r="G219" s="12" t="s">
        <v>170</v>
      </c>
      <c r="H219" s="12" t="s">
        <v>1494</v>
      </c>
      <c r="I219" s="15" t="s">
        <v>1495</v>
      </c>
    </row>
    <row r="220" customFormat="false" ht="23.85" hidden="false" customHeight="false" outlineLevel="0" collapsed="false">
      <c r="A220" s="12" t="s">
        <v>1556</v>
      </c>
      <c r="B220" s="13" t="s">
        <v>1501</v>
      </c>
      <c r="C220" s="13" t="s">
        <v>1186</v>
      </c>
      <c r="D220" s="13" t="s">
        <v>1186</v>
      </c>
      <c r="E220" s="13" t="s">
        <v>1186</v>
      </c>
      <c r="F220" s="12" t="s">
        <v>1553</v>
      </c>
      <c r="G220" s="12" t="s">
        <v>170</v>
      </c>
      <c r="H220" s="12" t="s">
        <v>1494</v>
      </c>
      <c r="I220" s="15" t="s">
        <v>1495</v>
      </c>
    </row>
    <row r="221" customFormat="false" ht="23.85" hidden="false" customHeight="false" outlineLevel="0" collapsed="false">
      <c r="A221" s="12" t="s">
        <v>1556</v>
      </c>
      <c r="B221" s="13" t="s">
        <v>1512</v>
      </c>
      <c r="C221" s="13" t="s">
        <v>1186</v>
      </c>
      <c r="D221" s="13" t="s">
        <v>1186</v>
      </c>
      <c r="E221" s="13"/>
      <c r="F221" s="12" t="s">
        <v>1518</v>
      </c>
      <c r="G221" s="12" t="s">
        <v>170</v>
      </c>
      <c r="H221" s="12" t="s">
        <v>1494</v>
      </c>
      <c r="I221" s="15" t="s">
        <v>1495</v>
      </c>
    </row>
    <row r="222" customFormat="false" ht="23.85" hidden="false" customHeight="false" outlineLevel="0" collapsed="false">
      <c r="A222" s="12" t="s">
        <v>1556</v>
      </c>
      <c r="B222" s="13" t="s">
        <v>442</v>
      </c>
      <c r="C222" s="13" t="s">
        <v>1186</v>
      </c>
      <c r="D222" s="13"/>
      <c r="E222" s="13"/>
      <c r="F222" s="12" t="s">
        <v>81</v>
      </c>
      <c r="G222" s="12" t="s">
        <v>170</v>
      </c>
      <c r="H222" s="12" t="s">
        <v>1494</v>
      </c>
      <c r="I222" s="15" t="s">
        <v>1495</v>
      </c>
    </row>
    <row r="223" customFormat="false" ht="23.85" hidden="false" customHeight="false" outlineLevel="0" collapsed="false">
      <c r="A223" s="12" t="s">
        <v>1556</v>
      </c>
      <c r="B223" s="13" t="s">
        <v>255</v>
      </c>
      <c r="C223" s="13" t="s">
        <v>1186</v>
      </c>
      <c r="D223" s="13" t="s">
        <v>1186</v>
      </c>
      <c r="E223" s="13" t="s">
        <v>1186</v>
      </c>
      <c r="F223" s="12" t="s">
        <v>1553</v>
      </c>
      <c r="G223" s="12" t="s">
        <v>170</v>
      </c>
      <c r="H223" s="12" t="s">
        <v>1494</v>
      </c>
      <c r="I223" s="15" t="s">
        <v>1495</v>
      </c>
    </row>
    <row r="224" customFormat="false" ht="23.85" hidden="false" customHeight="false" outlineLevel="0" collapsed="false">
      <c r="A224" s="12" t="s">
        <v>1556</v>
      </c>
      <c r="B224" s="13" t="s">
        <v>1498</v>
      </c>
      <c r="C224" s="13"/>
      <c r="D224" s="13" t="s">
        <v>1186</v>
      </c>
      <c r="E224" s="13"/>
      <c r="F224" s="12" t="s">
        <v>82</v>
      </c>
      <c r="G224" s="12" t="s">
        <v>170</v>
      </c>
      <c r="H224" s="12" t="s">
        <v>1494</v>
      </c>
      <c r="I224" s="15" t="s">
        <v>1495</v>
      </c>
    </row>
    <row r="225" customFormat="false" ht="23.85" hidden="false" customHeight="false" outlineLevel="0" collapsed="false">
      <c r="A225" s="12" t="s">
        <v>1556</v>
      </c>
      <c r="B225" s="13" t="s">
        <v>1515</v>
      </c>
      <c r="C225" s="13"/>
      <c r="D225" s="13" t="s">
        <v>1186</v>
      </c>
      <c r="E225" s="13"/>
      <c r="F225" s="12" t="s">
        <v>82</v>
      </c>
      <c r="G225" s="12" t="s">
        <v>170</v>
      </c>
      <c r="H225" s="12" t="s">
        <v>1494</v>
      </c>
      <c r="I225" s="15" t="s">
        <v>1495</v>
      </c>
    </row>
    <row r="226" customFormat="false" ht="23.85" hidden="false" customHeight="false" outlineLevel="0" collapsed="false">
      <c r="A226" s="12" t="s">
        <v>1556</v>
      </c>
      <c r="B226" s="13" t="s">
        <v>490</v>
      </c>
      <c r="C226" s="13" t="s">
        <v>1186</v>
      </c>
      <c r="D226" s="13" t="s">
        <v>1186</v>
      </c>
      <c r="E226" s="13"/>
      <c r="F226" s="12" t="s">
        <v>1518</v>
      </c>
      <c r="G226" s="12" t="s">
        <v>170</v>
      </c>
      <c r="H226" s="12" t="s">
        <v>1494</v>
      </c>
      <c r="I226" s="15" t="s">
        <v>1495</v>
      </c>
    </row>
    <row r="227" customFormat="false" ht="23.85" hidden="false" customHeight="false" outlineLevel="0" collapsed="false">
      <c r="A227" s="12" t="s">
        <v>1556</v>
      </c>
      <c r="B227" s="13" t="s">
        <v>1516</v>
      </c>
      <c r="C227" s="13" t="s">
        <v>1186</v>
      </c>
      <c r="D227" s="13"/>
      <c r="E227" s="13"/>
      <c r="F227" s="12" t="s">
        <v>81</v>
      </c>
      <c r="G227" s="12" t="s">
        <v>170</v>
      </c>
      <c r="H227" s="12" t="s">
        <v>1494</v>
      </c>
      <c r="I227" s="15" t="s">
        <v>1495</v>
      </c>
    </row>
    <row r="228" customFormat="false" ht="23.85" hidden="false" customHeight="false" outlineLevel="0" collapsed="false">
      <c r="A228" s="12" t="s">
        <v>1556</v>
      </c>
      <c r="B228" s="13" t="s">
        <v>1519</v>
      </c>
      <c r="C228" s="13" t="s">
        <v>1186</v>
      </c>
      <c r="D228" s="13" t="s">
        <v>1186</v>
      </c>
      <c r="E228" s="13"/>
      <c r="F228" s="12" t="s">
        <v>1518</v>
      </c>
      <c r="G228" s="12" t="s">
        <v>170</v>
      </c>
      <c r="H228" s="12" t="s">
        <v>1494</v>
      </c>
      <c r="I228" s="15" t="s">
        <v>1495</v>
      </c>
    </row>
    <row r="229" customFormat="false" ht="23.85" hidden="false" customHeight="false" outlineLevel="0" collapsed="false">
      <c r="A229" s="12" t="s">
        <v>1556</v>
      </c>
      <c r="B229" s="13" t="s">
        <v>367</v>
      </c>
      <c r="C229" s="13" t="s">
        <v>1186</v>
      </c>
      <c r="D229" s="13" t="s">
        <v>1186</v>
      </c>
      <c r="E229" s="13"/>
      <c r="F229" s="12" t="s">
        <v>1518</v>
      </c>
      <c r="G229" s="12" t="s">
        <v>170</v>
      </c>
      <c r="H229" s="12" t="s">
        <v>1494</v>
      </c>
      <c r="I229" s="15" t="s">
        <v>1495</v>
      </c>
    </row>
    <row r="230" customFormat="false" ht="23.85" hidden="false" customHeight="false" outlineLevel="0" collapsed="false">
      <c r="A230" s="12" t="s">
        <v>1556</v>
      </c>
      <c r="B230" s="13" t="s">
        <v>1521</v>
      </c>
      <c r="C230" s="13" t="s">
        <v>1186</v>
      </c>
      <c r="D230" s="13"/>
      <c r="E230" s="13"/>
      <c r="F230" s="12" t="s">
        <v>81</v>
      </c>
      <c r="G230" s="12" t="s">
        <v>170</v>
      </c>
      <c r="H230" s="12" t="s">
        <v>1494</v>
      </c>
      <c r="I230" s="15" t="s">
        <v>1495</v>
      </c>
    </row>
    <row r="231" customFormat="false" ht="23.85" hidden="false" customHeight="false" outlineLevel="0" collapsed="false">
      <c r="A231" s="12" t="s">
        <v>1556</v>
      </c>
      <c r="B231" s="13" t="s">
        <v>377</v>
      </c>
      <c r="C231" s="13" t="s">
        <v>1186</v>
      </c>
      <c r="D231" s="13" t="s">
        <v>1186</v>
      </c>
      <c r="E231" s="13"/>
      <c r="F231" s="12" t="s">
        <v>1518</v>
      </c>
      <c r="G231" s="12" t="s">
        <v>170</v>
      </c>
      <c r="H231" s="12" t="s">
        <v>1494</v>
      </c>
      <c r="I231" s="15" t="s">
        <v>1495</v>
      </c>
    </row>
    <row r="232" customFormat="false" ht="23.85" hidden="false" customHeight="false" outlineLevel="0" collapsed="false">
      <c r="A232" s="12" t="s">
        <v>1556</v>
      </c>
      <c r="B232" s="13" t="s">
        <v>1523</v>
      </c>
      <c r="C232" s="13" t="s">
        <v>1186</v>
      </c>
      <c r="D232" s="13"/>
      <c r="E232" s="13"/>
      <c r="F232" s="12" t="s">
        <v>81</v>
      </c>
      <c r="G232" s="12" t="s">
        <v>170</v>
      </c>
      <c r="H232" s="12" t="s">
        <v>1494</v>
      </c>
      <c r="I232" s="15" t="s">
        <v>1495</v>
      </c>
    </row>
    <row r="233" customFormat="false" ht="23.85" hidden="false" customHeight="false" outlineLevel="0" collapsed="false">
      <c r="A233" s="12" t="s">
        <v>1556</v>
      </c>
      <c r="B233" s="13" t="s">
        <v>1525</v>
      </c>
      <c r="C233" s="13"/>
      <c r="D233" s="13"/>
      <c r="E233" s="13" t="s">
        <v>1186</v>
      </c>
      <c r="F233" s="12" t="s">
        <v>83</v>
      </c>
      <c r="G233" s="12" t="s">
        <v>170</v>
      </c>
      <c r="H233" s="12" t="s">
        <v>1494</v>
      </c>
      <c r="I233" s="15" t="s">
        <v>1495</v>
      </c>
    </row>
    <row r="234" customFormat="false" ht="23.85" hidden="false" customHeight="false" outlineLevel="0" collapsed="false">
      <c r="A234" s="12" t="s">
        <v>1556</v>
      </c>
      <c r="B234" s="13" t="s">
        <v>305</v>
      </c>
      <c r="C234" s="13" t="s">
        <v>1186</v>
      </c>
      <c r="D234" s="13"/>
      <c r="E234" s="13" t="s">
        <v>1186</v>
      </c>
      <c r="F234" s="12" t="s">
        <v>1499</v>
      </c>
      <c r="G234" s="12" t="s">
        <v>170</v>
      </c>
      <c r="H234" s="12" t="s">
        <v>1494</v>
      </c>
      <c r="I234" s="15" t="s">
        <v>1495</v>
      </c>
    </row>
    <row r="235" customFormat="false" ht="23.85" hidden="false" customHeight="false" outlineLevel="0" collapsed="false">
      <c r="A235" s="12" t="s">
        <v>1556</v>
      </c>
      <c r="B235" s="13" t="s">
        <v>381</v>
      </c>
      <c r="C235" s="13"/>
      <c r="D235" s="13" t="s">
        <v>1186</v>
      </c>
      <c r="E235" s="13"/>
      <c r="F235" s="12" t="s">
        <v>82</v>
      </c>
      <c r="G235" s="12" t="s">
        <v>170</v>
      </c>
      <c r="H235" s="12" t="s">
        <v>1494</v>
      </c>
      <c r="I235" s="15" t="s">
        <v>1495</v>
      </c>
    </row>
    <row r="236" customFormat="false" ht="23.85" hidden="false" customHeight="false" outlineLevel="0" collapsed="false">
      <c r="A236" s="12" t="s">
        <v>1556</v>
      </c>
      <c r="B236" s="13" t="s">
        <v>316</v>
      </c>
      <c r="C236" s="13" t="s">
        <v>1186</v>
      </c>
      <c r="D236" s="13" t="s">
        <v>1186</v>
      </c>
      <c r="E236" s="13"/>
      <c r="F236" s="12" t="s">
        <v>1518</v>
      </c>
      <c r="G236" s="12" t="s">
        <v>170</v>
      </c>
      <c r="H236" s="12" t="s">
        <v>1494</v>
      </c>
      <c r="I236" s="15" t="s">
        <v>1495</v>
      </c>
    </row>
    <row r="237" customFormat="false" ht="23.85" hidden="false" customHeight="false" outlineLevel="0" collapsed="false">
      <c r="A237" s="12" t="s">
        <v>1556</v>
      </c>
      <c r="B237" s="13" t="s">
        <v>1528</v>
      </c>
      <c r="C237" s="13"/>
      <c r="D237" s="13" t="s">
        <v>1186</v>
      </c>
      <c r="E237" s="13"/>
      <c r="F237" s="12" t="s">
        <v>82</v>
      </c>
      <c r="G237" s="12" t="s">
        <v>170</v>
      </c>
      <c r="H237" s="12" t="s">
        <v>1494</v>
      </c>
      <c r="I237" s="15" t="s">
        <v>1495</v>
      </c>
    </row>
    <row r="238" customFormat="false" ht="23.85" hidden="false" customHeight="false" outlineLevel="0" collapsed="false">
      <c r="A238" s="12" t="s">
        <v>1556</v>
      </c>
      <c r="B238" s="13" t="s">
        <v>1529</v>
      </c>
      <c r="C238" s="13" t="s">
        <v>1186</v>
      </c>
      <c r="D238" s="13"/>
      <c r="E238" s="13"/>
      <c r="F238" s="12" t="s">
        <v>81</v>
      </c>
      <c r="G238" s="12" t="s">
        <v>170</v>
      </c>
      <c r="H238" s="12" t="s">
        <v>1494</v>
      </c>
      <c r="I238" s="15" t="s">
        <v>1495</v>
      </c>
    </row>
    <row r="239" customFormat="false" ht="15" hidden="false" customHeight="false" outlineLevel="0" collapsed="false">
      <c r="A239" s="12" t="s">
        <v>124</v>
      </c>
      <c r="B239" s="13" t="s">
        <v>1503</v>
      </c>
      <c r="C239" s="13"/>
      <c r="D239" s="13" t="n">
        <v>1</v>
      </c>
      <c r="E239" s="13"/>
      <c r="F239" s="12" t="s">
        <v>82</v>
      </c>
      <c r="G239" s="12" t="s">
        <v>134</v>
      </c>
      <c r="H239" s="12" t="s">
        <v>1504</v>
      </c>
      <c r="I239" s="15" t="s">
        <v>1557</v>
      </c>
    </row>
    <row r="240" customFormat="false" ht="15" hidden="false" customHeight="false" outlineLevel="0" collapsed="false">
      <c r="A240" s="12" t="s">
        <v>124</v>
      </c>
      <c r="B240" s="13" t="s">
        <v>1506</v>
      </c>
      <c r="C240" s="13"/>
      <c r="D240" s="13"/>
      <c r="E240" s="13" t="n">
        <v>3</v>
      </c>
      <c r="F240" s="12" t="s">
        <v>83</v>
      </c>
      <c r="G240" s="12" t="s">
        <v>134</v>
      </c>
      <c r="H240" s="12" t="s">
        <v>1504</v>
      </c>
      <c r="I240" s="15" t="s">
        <v>1557</v>
      </c>
    </row>
    <row r="241" customFormat="false" ht="15" hidden="false" customHeight="false" outlineLevel="0" collapsed="false">
      <c r="A241" s="12" t="s">
        <v>124</v>
      </c>
      <c r="B241" s="13" t="s">
        <v>1507</v>
      </c>
      <c r="C241" s="13" t="n">
        <v>3</v>
      </c>
      <c r="D241" s="13" t="n">
        <v>3</v>
      </c>
      <c r="E241" s="13" t="n">
        <v>1</v>
      </c>
      <c r="F241" s="12" t="s">
        <v>1518</v>
      </c>
      <c r="G241" s="12" t="s">
        <v>134</v>
      </c>
      <c r="H241" s="12" t="s">
        <v>1504</v>
      </c>
      <c r="I241" s="15" t="s">
        <v>1557</v>
      </c>
    </row>
    <row r="242" customFormat="false" ht="15" hidden="false" customHeight="false" outlineLevel="0" collapsed="false">
      <c r="A242" s="12" t="s">
        <v>124</v>
      </c>
      <c r="B242" s="13" t="s">
        <v>249</v>
      </c>
      <c r="C242" s="13" t="n">
        <v>48</v>
      </c>
      <c r="D242" s="13" t="n">
        <v>16</v>
      </c>
      <c r="E242" s="13" t="n">
        <v>6</v>
      </c>
      <c r="F242" s="12" t="s">
        <v>81</v>
      </c>
      <c r="G242" s="12" t="s">
        <v>134</v>
      </c>
      <c r="H242" s="12" t="s">
        <v>1504</v>
      </c>
      <c r="I242" s="15" t="s">
        <v>1557</v>
      </c>
    </row>
    <row r="243" customFormat="false" ht="15" hidden="false" customHeight="false" outlineLevel="0" collapsed="false">
      <c r="A243" s="12" t="s">
        <v>124</v>
      </c>
      <c r="B243" s="13" t="s">
        <v>1508</v>
      </c>
      <c r="C243" s="13" t="n">
        <v>2</v>
      </c>
      <c r="D243" s="13" t="n">
        <v>1</v>
      </c>
      <c r="E243" s="13"/>
      <c r="F243" s="12" t="s">
        <v>81</v>
      </c>
      <c r="G243" s="12" t="s">
        <v>134</v>
      </c>
      <c r="H243" s="12" t="s">
        <v>1504</v>
      </c>
      <c r="I243" s="15" t="s">
        <v>1557</v>
      </c>
    </row>
    <row r="244" customFormat="false" ht="15" hidden="false" customHeight="false" outlineLevel="0" collapsed="false">
      <c r="A244" s="12" t="s">
        <v>124</v>
      </c>
      <c r="B244" s="13" t="s">
        <v>1509</v>
      </c>
      <c r="C244" s="13" t="n">
        <v>3</v>
      </c>
      <c r="D244" s="13" t="n">
        <v>6</v>
      </c>
      <c r="E244" s="13" t="n">
        <v>1</v>
      </c>
      <c r="F244" s="12" t="s">
        <v>82</v>
      </c>
      <c r="G244" s="12" t="s">
        <v>134</v>
      </c>
      <c r="H244" s="12" t="s">
        <v>1504</v>
      </c>
      <c r="I244" s="15" t="s">
        <v>1557</v>
      </c>
    </row>
    <row r="245" customFormat="false" ht="15" hidden="false" customHeight="false" outlineLevel="0" collapsed="false">
      <c r="A245" s="12" t="s">
        <v>124</v>
      </c>
      <c r="B245" s="13" t="s">
        <v>1510</v>
      </c>
      <c r="C245" s="13" t="n">
        <v>3</v>
      </c>
      <c r="D245" s="13"/>
      <c r="E245" s="13"/>
      <c r="F245" s="12" t="s">
        <v>81</v>
      </c>
      <c r="G245" s="12" t="s">
        <v>134</v>
      </c>
      <c r="H245" s="12" t="s">
        <v>1504</v>
      </c>
      <c r="I245" s="15" t="s">
        <v>1557</v>
      </c>
    </row>
    <row r="246" customFormat="false" ht="15" hidden="false" customHeight="false" outlineLevel="0" collapsed="false">
      <c r="A246" s="12" t="s">
        <v>124</v>
      </c>
      <c r="B246" s="13" t="s">
        <v>1511</v>
      </c>
      <c r="C246" s="13" t="n">
        <v>3</v>
      </c>
      <c r="D246" s="13" t="n">
        <v>5</v>
      </c>
      <c r="E246" s="13"/>
      <c r="F246" s="12" t="s">
        <v>82</v>
      </c>
      <c r="G246" s="12" t="s">
        <v>134</v>
      </c>
      <c r="H246" s="12" t="s">
        <v>1504</v>
      </c>
      <c r="I246" s="15" t="s">
        <v>1557</v>
      </c>
    </row>
    <row r="247" customFormat="false" ht="15" hidden="false" customHeight="false" outlineLevel="0" collapsed="false">
      <c r="A247" s="12" t="s">
        <v>124</v>
      </c>
      <c r="B247" s="13" t="s">
        <v>256</v>
      </c>
      <c r="C247" s="13" t="n">
        <v>17</v>
      </c>
      <c r="D247" s="13" t="n">
        <v>14</v>
      </c>
      <c r="E247" s="13" t="n">
        <v>1</v>
      </c>
      <c r="F247" s="12" t="s">
        <v>81</v>
      </c>
      <c r="G247" s="12" t="s">
        <v>134</v>
      </c>
      <c r="H247" s="12" t="s">
        <v>1504</v>
      </c>
      <c r="I247" s="15" t="s">
        <v>1557</v>
      </c>
    </row>
    <row r="248" customFormat="false" ht="15" hidden="false" customHeight="false" outlineLevel="0" collapsed="false">
      <c r="A248" s="12" t="s">
        <v>124</v>
      </c>
      <c r="B248" s="13" t="s">
        <v>1501</v>
      </c>
      <c r="C248" s="13" t="n">
        <v>7</v>
      </c>
      <c r="D248" s="13" t="n">
        <v>3</v>
      </c>
      <c r="E248" s="13"/>
      <c r="F248" s="12" t="s">
        <v>81</v>
      </c>
      <c r="G248" s="12" t="s">
        <v>134</v>
      </c>
      <c r="H248" s="12" t="s">
        <v>1504</v>
      </c>
      <c r="I248" s="15" t="s">
        <v>1557</v>
      </c>
    </row>
    <row r="249" customFormat="false" ht="15" hidden="false" customHeight="false" outlineLevel="0" collapsed="false">
      <c r="A249" s="12" t="s">
        <v>124</v>
      </c>
      <c r="B249" s="13" t="s">
        <v>1543</v>
      </c>
      <c r="C249" s="13"/>
      <c r="D249" s="13" t="n">
        <v>3</v>
      </c>
      <c r="E249" s="13"/>
      <c r="F249" s="12" t="s">
        <v>82</v>
      </c>
      <c r="G249" s="12" t="s">
        <v>134</v>
      </c>
      <c r="H249" s="12" t="s">
        <v>1504</v>
      </c>
      <c r="I249" s="15" t="s">
        <v>1557</v>
      </c>
    </row>
    <row r="250" customFormat="false" ht="15" hidden="false" customHeight="false" outlineLevel="0" collapsed="false">
      <c r="A250" s="12" t="s">
        <v>124</v>
      </c>
      <c r="B250" s="13" t="s">
        <v>1558</v>
      </c>
      <c r="C250" s="13" t="n">
        <v>2</v>
      </c>
      <c r="D250" s="13"/>
      <c r="E250" s="13"/>
      <c r="F250" s="12" t="s">
        <v>81</v>
      </c>
      <c r="G250" s="12" t="s">
        <v>134</v>
      </c>
      <c r="H250" s="12" t="s">
        <v>1504</v>
      </c>
      <c r="I250" s="15" t="s">
        <v>1557</v>
      </c>
    </row>
    <row r="251" customFormat="false" ht="15" hidden="false" customHeight="false" outlineLevel="0" collapsed="false">
      <c r="A251" s="12" t="s">
        <v>124</v>
      </c>
      <c r="B251" s="13" t="s">
        <v>300</v>
      </c>
      <c r="C251" s="13" t="n">
        <v>1</v>
      </c>
      <c r="D251" s="13"/>
      <c r="E251" s="13"/>
      <c r="F251" s="12" t="s">
        <v>81</v>
      </c>
      <c r="G251" s="12" t="s">
        <v>134</v>
      </c>
      <c r="H251" s="12" t="s">
        <v>1504</v>
      </c>
      <c r="I251" s="15" t="s">
        <v>1557</v>
      </c>
    </row>
    <row r="252" customFormat="false" ht="15" hidden="false" customHeight="false" outlineLevel="0" collapsed="false">
      <c r="A252" s="12" t="s">
        <v>124</v>
      </c>
      <c r="B252" s="13" t="s">
        <v>1512</v>
      </c>
      <c r="C252" s="13" t="n">
        <v>10</v>
      </c>
      <c r="D252" s="13" t="n">
        <v>13</v>
      </c>
      <c r="E252" s="13" t="n">
        <v>1</v>
      </c>
      <c r="F252" s="12" t="s">
        <v>82</v>
      </c>
      <c r="G252" s="12" t="s">
        <v>134</v>
      </c>
      <c r="H252" s="12" t="s">
        <v>1504</v>
      </c>
      <c r="I252" s="15" t="s">
        <v>1557</v>
      </c>
    </row>
    <row r="253" customFormat="false" ht="15" hidden="false" customHeight="false" outlineLevel="0" collapsed="false">
      <c r="A253" s="12" t="s">
        <v>124</v>
      </c>
      <c r="B253" s="13" t="s">
        <v>442</v>
      </c>
      <c r="C253" s="13" t="n">
        <v>3</v>
      </c>
      <c r="D253" s="13"/>
      <c r="E253" s="13" t="n">
        <v>1</v>
      </c>
      <c r="F253" s="12" t="s">
        <v>81</v>
      </c>
      <c r="G253" s="12" t="s">
        <v>134</v>
      </c>
      <c r="H253" s="12" t="s">
        <v>1504</v>
      </c>
      <c r="I253" s="15" t="s">
        <v>1557</v>
      </c>
    </row>
    <row r="254" customFormat="false" ht="15" hidden="false" customHeight="false" outlineLevel="0" collapsed="false">
      <c r="A254" s="12" t="s">
        <v>124</v>
      </c>
      <c r="B254" s="13" t="s">
        <v>1513</v>
      </c>
      <c r="C254" s="13" t="n">
        <v>4</v>
      </c>
      <c r="D254" s="13" t="n">
        <v>4</v>
      </c>
      <c r="E254" s="13"/>
      <c r="F254" s="12" t="s">
        <v>1518</v>
      </c>
      <c r="G254" s="12" t="s">
        <v>134</v>
      </c>
      <c r="H254" s="12" t="s">
        <v>1504</v>
      </c>
      <c r="I254" s="15" t="s">
        <v>1557</v>
      </c>
    </row>
    <row r="255" customFormat="false" ht="15" hidden="false" customHeight="false" outlineLevel="0" collapsed="false">
      <c r="A255" s="12" t="s">
        <v>124</v>
      </c>
      <c r="B255" s="13" t="s">
        <v>1514</v>
      </c>
      <c r="C255" s="13"/>
      <c r="D255" s="13" t="n">
        <v>1</v>
      </c>
      <c r="E255" s="13" t="n">
        <v>2</v>
      </c>
      <c r="F255" s="12" t="s">
        <v>83</v>
      </c>
      <c r="G255" s="12" t="s">
        <v>134</v>
      </c>
      <c r="H255" s="12" t="s">
        <v>1504</v>
      </c>
      <c r="I255" s="15" t="s">
        <v>1557</v>
      </c>
    </row>
    <row r="256" customFormat="false" ht="15" hidden="false" customHeight="false" outlineLevel="0" collapsed="false">
      <c r="A256" s="12" t="s">
        <v>124</v>
      </c>
      <c r="B256" s="13" t="s">
        <v>255</v>
      </c>
      <c r="C256" s="13" t="n">
        <v>4</v>
      </c>
      <c r="D256" s="13" t="n">
        <v>3</v>
      </c>
      <c r="E256" s="13"/>
      <c r="F256" s="12" t="s">
        <v>81</v>
      </c>
      <c r="G256" s="12" t="s">
        <v>134</v>
      </c>
      <c r="H256" s="12" t="s">
        <v>1504</v>
      </c>
      <c r="I256" s="15" t="s">
        <v>1557</v>
      </c>
    </row>
    <row r="257" customFormat="false" ht="15" hidden="false" customHeight="false" outlineLevel="0" collapsed="false">
      <c r="A257" s="12" t="s">
        <v>124</v>
      </c>
      <c r="B257" s="13" t="s">
        <v>1498</v>
      </c>
      <c r="C257" s="13" t="n">
        <v>7</v>
      </c>
      <c r="D257" s="13" t="n">
        <v>3</v>
      </c>
      <c r="E257" s="13"/>
      <c r="F257" s="12" t="s">
        <v>81</v>
      </c>
      <c r="G257" s="12" t="s">
        <v>134</v>
      </c>
      <c r="H257" s="12" t="s">
        <v>1504</v>
      </c>
      <c r="I257" s="15" t="s">
        <v>1557</v>
      </c>
    </row>
    <row r="258" customFormat="false" ht="15" hidden="false" customHeight="false" outlineLevel="0" collapsed="false">
      <c r="A258" s="12" t="s">
        <v>124</v>
      </c>
      <c r="B258" s="13" t="s">
        <v>1559</v>
      </c>
      <c r="C258" s="13"/>
      <c r="D258" s="13" t="n">
        <v>1</v>
      </c>
      <c r="E258" s="13" t="n">
        <v>1</v>
      </c>
      <c r="F258" s="12" t="s">
        <v>1542</v>
      </c>
      <c r="G258" s="12" t="s">
        <v>134</v>
      </c>
      <c r="H258" s="12" t="s">
        <v>1504</v>
      </c>
      <c r="I258" s="15" t="s">
        <v>1557</v>
      </c>
    </row>
    <row r="259" customFormat="false" ht="15" hidden="false" customHeight="false" outlineLevel="0" collapsed="false">
      <c r="A259" s="12" t="s">
        <v>124</v>
      </c>
      <c r="B259" s="13" t="s">
        <v>1515</v>
      </c>
      <c r="C259" s="13" t="n">
        <v>10</v>
      </c>
      <c r="D259" s="13" t="n">
        <v>7</v>
      </c>
      <c r="E259" s="13" t="n">
        <v>1</v>
      </c>
      <c r="F259" s="12" t="s">
        <v>81</v>
      </c>
      <c r="G259" s="12" t="s">
        <v>134</v>
      </c>
      <c r="H259" s="12" t="s">
        <v>1504</v>
      </c>
      <c r="I259" s="15" t="s">
        <v>1557</v>
      </c>
    </row>
    <row r="260" customFormat="false" ht="15" hidden="false" customHeight="false" outlineLevel="0" collapsed="false">
      <c r="A260" s="12" t="s">
        <v>124</v>
      </c>
      <c r="B260" s="13" t="s">
        <v>490</v>
      </c>
      <c r="C260" s="13" t="n">
        <v>1</v>
      </c>
      <c r="D260" s="13" t="n">
        <v>3</v>
      </c>
      <c r="E260" s="13"/>
      <c r="F260" s="12" t="s">
        <v>82</v>
      </c>
      <c r="G260" s="12" t="s">
        <v>134</v>
      </c>
      <c r="H260" s="12" t="s">
        <v>1504</v>
      </c>
      <c r="I260" s="15" t="s">
        <v>1557</v>
      </c>
    </row>
    <row r="261" customFormat="false" ht="15" hidden="false" customHeight="false" outlineLevel="0" collapsed="false">
      <c r="A261" s="12" t="s">
        <v>124</v>
      </c>
      <c r="B261" s="13" t="s">
        <v>1516</v>
      </c>
      <c r="C261" s="13" t="n">
        <v>2</v>
      </c>
      <c r="D261" s="13" t="n">
        <v>1</v>
      </c>
      <c r="E261" s="13" t="n">
        <v>1</v>
      </c>
      <c r="F261" s="12" t="s">
        <v>81</v>
      </c>
      <c r="G261" s="12" t="s">
        <v>134</v>
      </c>
      <c r="H261" s="12" t="s">
        <v>1504</v>
      </c>
      <c r="I261" s="15" t="s">
        <v>1557</v>
      </c>
    </row>
    <row r="262" customFormat="false" ht="15" hidden="false" customHeight="false" outlineLevel="0" collapsed="false">
      <c r="A262" s="12" t="s">
        <v>124</v>
      </c>
      <c r="B262" s="13" t="s">
        <v>1560</v>
      </c>
      <c r="C262" s="13"/>
      <c r="D262" s="13" t="n">
        <v>1</v>
      </c>
      <c r="E262" s="13"/>
      <c r="F262" s="12" t="s">
        <v>82</v>
      </c>
      <c r="G262" s="12" t="s">
        <v>134</v>
      </c>
      <c r="H262" s="12" t="s">
        <v>1504</v>
      </c>
      <c r="I262" s="15" t="s">
        <v>1557</v>
      </c>
    </row>
    <row r="263" customFormat="false" ht="15" hidden="false" customHeight="false" outlineLevel="0" collapsed="false">
      <c r="A263" s="12" t="s">
        <v>124</v>
      </c>
      <c r="B263" s="13" t="s">
        <v>1519</v>
      </c>
      <c r="C263" s="13" t="n">
        <v>12</v>
      </c>
      <c r="D263" s="13" t="n">
        <v>13</v>
      </c>
      <c r="E263" s="13" t="n">
        <v>2</v>
      </c>
      <c r="F263" s="12" t="s">
        <v>82</v>
      </c>
      <c r="G263" s="12" t="s">
        <v>134</v>
      </c>
      <c r="H263" s="12" t="s">
        <v>1504</v>
      </c>
      <c r="I263" s="15" t="s">
        <v>1557</v>
      </c>
    </row>
    <row r="264" customFormat="false" ht="15" hidden="false" customHeight="false" outlineLevel="0" collapsed="false">
      <c r="A264" s="12" t="s">
        <v>124</v>
      </c>
      <c r="B264" s="13" t="s">
        <v>1520</v>
      </c>
      <c r="C264" s="13" t="n">
        <v>2</v>
      </c>
      <c r="D264" s="13" t="n">
        <v>4</v>
      </c>
      <c r="E264" s="13"/>
      <c r="F264" s="12" t="s">
        <v>82</v>
      </c>
      <c r="G264" s="12" t="s">
        <v>134</v>
      </c>
      <c r="H264" s="12" t="s">
        <v>1504</v>
      </c>
      <c r="I264" s="15" t="s">
        <v>1557</v>
      </c>
    </row>
    <row r="265" customFormat="false" ht="15" hidden="false" customHeight="false" outlineLevel="0" collapsed="false">
      <c r="A265" s="12" t="s">
        <v>124</v>
      </c>
      <c r="B265" s="13" t="s">
        <v>367</v>
      </c>
      <c r="C265" s="13" t="n">
        <v>4</v>
      </c>
      <c r="D265" s="13" t="n">
        <v>1</v>
      </c>
      <c r="E265" s="13" t="n">
        <v>1</v>
      </c>
      <c r="F265" s="12" t="s">
        <v>81</v>
      </c>
      <c r="G265" s="12" t="s">
        <v>134</v>
      </c>
      <c r="H265" s="12" t="s">
        <v>1504</v>
      </c>
      <c r="I265" s="15" t="s">
        <v>1557</v>
      </c>
    </row>
    <row r="266" customFormat="false" ht="15" hidden="false" customHeight="false" outlineLevel="0" collapsed="false">
      <c r="A266" s="12" t="s">
        <v>124</v>
      </c>
      <c r="B266" s="13" t="s">
        <v>1521</v>
      </c>
      <c r="C266" s="13" t="n">
        <v>1</v>
      </c>
      <c r="D266" s="13"/>
      <c r="E266" s="13"/>
      <c r="F266" s="12" t="s">
        <v>81</v>
      </c>
      <c r="G266" s="12" t="s">
        <v>134</v>
      </c>
      <c r="H266" s="12" t="s">
        <v>1504</v>
      </c>
      <c r="I266" s="15" t="s">
        <v>1557</v>
      </c>
    </row>
    <row r="267" customFormat="false" ht="15" hidden="false" customHeight="false" outlineLevel="0" collapsed="false">
      <c r="A267" s="12" t="s">
        <v>124</v>
      </c>
      <c r="B267" s="13" t="s">
        <v>1522</v>
      </c>
      <c r="C267" s="13" t="n">
        <v>3</v>
      </c>
      <c r="D267" s="13" t="n">
        <v>3</v>
      </c>
      <c r="E267" s="13"/>
      <c r="F267" s="12" t="s">
        <v>1518</v>
      </c>
      <c r="G267" s="12" t="s">
        <v>134</v>
      </c>
      <c r="H267" s="12" t="s">
        <v>1504</v>
      </c>
      <c r="I267" s="15" t="s">
        <v>1557</v>
      </c>
    </row>
    <row r="268" customFormat="false" ht="15" hidden="false" customHeight="false" outlineLevel="0" collapsed="false">
      <c r="A268" s="12" t="s">
        <v>124</v>
      </c>
      <c r="B268" s="13" t="s">
        <v>377</v>
      </c>
      <c r="C268" s="13" t="n">
        <v>18</v>
      </c>
      <c r="D268" s="13" t="n">
        <v>14</v>
      </c>
      <c r="E268" s="13" t="n">
        <v>8</v>
      </c>
      <c r="F268" s="12" t="s">
        <v>81</v>
      </c>
      <c r="G268" s="12" t="s">
        <v>134</v>
      </c>
      <c r="H268" s="12" t="s">
        <v>1504</v>
      </c>
      <c r="I268" s="15" t="s">
        <v>1557</v>
      </c>
    </row>
    <row r="269" customFormat="false" ht="15" hidden="false" customHeight="false" outlineLevel="0" collapsed="false">
      <c r="A269" s="12" t="s">
        <v>124</v>
      </c>
      <c r="B269" s="13" t="s">
        <v>1523</v>
      </c>
      <c r="C269" s="13" t="n">
        <v>6</v>
      </c>
      <c r="D269" s="13"/>
      <c r="E269" s="13"/>
      <c r="F269" s="12" t="s">
        <v>81</v>
      </c>
      <c r="G269" s="12" t="s">
        <v>134</v>
      </c>
      <c r="H269" s="12" t="s">
        <v>1504</v>
      </c>
      <c r="I269" s="15" t="s">
        <v>1557</v>
      </c>
    </row>
    <row r="270" customFormat="false" ht="15" hidden="false" customHeight="false" outlineLevel="0" collapsed="false">
      <c r="A270" s="12" t="s">
        <v>124</v>
      </c>
      <c r="B270" s="13" t="s">
        <v>1524</v>
      </c>
      <c r="C270" s="13" t="n">
        <v>2</v>
      </c>
      <c r="D270" s="13" t="n">
        <v>4</v>
      </c>
      <c r="E270" s="13"/>
      <c r="F270" s="12" t="s">
        <v>82</v>
      </c>
      <c r="G270" s="12" t="s">
        <v>134</v>
      </c>
      <c r="H270" s="12" t="s">
        <v>1504</v>
      </c>
      <c r="I270" s="15" t="s">
        <v>1557</v>
      </c>
    </row>
    <row r="271" customFormat="false" ht="15" hidden="false" customHeight="false" outlineLevel="0" collapsed="false">
      <c r="A271" s="12" t="s">
        <v>124</v>
      </c>
      <c r="B271" s="13" t="s">
        <v>1525</v>
      </c>
      <c r="C271" s="13" t="n">
        <v>7</v>
      </c>
      <c r="D271" s="13" t="n">
        <v>3</v>
      </c>
      <c r="E271" s="13" t="n">
        <v>1</v>
      </c>
      <c r="F271" s="12" t="s">
        <v>81</v>
      </c>
      <c r="G271" s="12" t="s">
        <v>134</v>
      </c>
      <c r="H271" s="12" t="s">
        <v>1504</v>
      </c>
      <c r="I271" s="15" t="s">
        <v>1557</v>
      </c>
    </row>
    <row r="272" customFormat="false" ht="15" hidden="false" customHeight="false" outlineLevel="0" collapsed="false">
      <c r="A272" s="12" t="s">
        <v>124</v>
      </c>
      <c r="B272" s="13" t="s">
        <v>305</v>
      </c>
      <c r="C272" s="13" t="n">
        <v>22</v>
      </c>
      <c r="D272" s="13" t="n">
        <v>2</v>
      </c>
      <c r="E272" s="13" t="n">
        <v>5</v>
      </c>
      <c r="F272" s="12" t="s">
        <v>81</v>
      </c>
      <c r="G272" s="12" t="s">
        <v>134</v>
      </c>
      <c r="H272" s="12" t="s">
        <v>1504</v>
      </c>
      <c r="I272" s="15" t="s">
        <v>1557</v>
      </c>
    </row>
    <row r="273" customFormat="false" ht="15" hidden="false" customHeight="false" outlineLevel="0" collapsed="false">
      <c r="A273" s="12" t="s">
        <v>124</v>
      </c>
      <c r="B273" s="13" t="s">
        <v>381</v>
      </c>
      <c r="C273" s="13"/>
      <c r="D273" s="13" t="n">
        <v>1</v>
      </c>
      <c r="E273" s="13"/>
      <c r="F273" s="12" t="s">
        <v>82</v>
      </c>
      <c r="G273" s="12" t="s">
        <v>134</v>
      </c>
      <c r="H273" s="12" t="s">
        <v>1504</v>
      </c>
      <c r="I273" s="15" t="s">
        <v>1557</v>
      </c>
    </row>
    <row r="274" customFormat="false" ht="15" hidden="false" customHeight="false" outlineLevel="0" collapsed="false">
      <c r="A274" s="12" t="s">
        <v>124</v>
      </c>
      <c r="B274" s="13" t="s">
        <v>1561</v>
      </c>
      <c r="C274" s="13" t="n">
        <v>2</v>
      </c>
      <c r="D274" s="13" t="n">
        <v>1</v>
      </c>
      <c r="E274" s="13" t="n">
        <v>1</v>
      </c>
      <c r="F274" s="12" t="s">
        <v>81</v>
      </c>
      <c r="G274" s="12" t="s">
        <v>134</v>
      </c>
      <c r="H274" s="12" t="s">
        <v>1504</v>
      </c>
      <c r="I274" s="15" t="s">
        <v>1557</v>
      </c>
    </row>
    <row r="275" customFormat="false" ht="15" hidden="false" customHeight="false" outlineLevel="0" collapsed="false">
      <c r="A275" s="12" t="s">
        <v>124</v>
      </c>
      <c r="B275" s="13" t="s">
        <v>1526</v>
      </c>
      <c r="C275" s="13" t="n">
        <v>2</v>
      </c>
      <c r="D275" s="13" t="n">
        <v>6</v>
      </c>
      <c r="E275" s="13" t="n">
        <v>1</v>
      </c>
      <c r="F275" s="12" t="s">
        <v>82</v>
      </c>
      <c r="G275" s="12" t="s">
        <v>134</v>
      </c>
      <c r="H275" s="12" t="s">
        <v>1504</v>
      </c>
      <c r="I275" s="15" t="s">
        <v>1557</v>
      </c>
    </row>
    <row r="276" customFormat="false" ht="15" hidden="false" customHeight="false" outlineLevel="0" collapsed="false">
      <c r="A276" s="12" t="s">
        <v>124</v>
      </c>
      <c r="B276" s="13" t="s">
        <v>316</v>
      </c>
      <c r="C276" s="13" t="n">
        <v>32</v>
      </c>
      <c r="D276" s="13" t="n">
        <v>10</v>
      </c>
      <c r="E276" s="13" t="n">
        <v>2</v>
      </c>
      <c r="F276" s="12" t="s">
        <v>81</v>
      </c>
      <c r="G276" s="12" t="s">
        <v>134</v>
      </c>
      <c r="H276" s="12" t="s">
        <v>1504</v>
      </c>
      <c r="I276" s="15" t="s">
        <v>1557</v>
      </c>
    </row>
    <row r="277" customFormat="false" ht="15" hidden="false" customHeight="false" outlineLevel="0" collapsed="false">
      <c r="A277" s="12" t="s">
        <v>124</v>
      </c>
      <c r="B277" s="13" t="s">
        <v>1527</v>
      </c>
      <c r="C277" s="13"/>
      <c r="D277" s="13"/>
      <c r="E277" s="13" t="n">
        <v>2</v>
      </c>
      <c r="F277" s="12" t="s">
        <v>83</v>
      </c>
      <c r="G277" s="12" t="s">
        <v>134</v>
      </c>
      <c r="H277" s="12" t="s">
        <v>1504</v>
      </c>
      <c r="I277" s="15" t="s">
        <v>1557</v>
      </c>
    </row>
    <row r="278" customFormat="false" ht="15" hidden="false" customHeight="false" outlineLevel="0" collapsed="false">
      <c r="A278" s="12" t="s">
        <v>124</v>
      </c>
      <c r="B278" s="13" t="s">
        <v>1528</v>
      </c>
      <c r="C278" s="13" t="n">
        <v>5</v>
      </c>
      <c r="D278" s="13" t="n">
        <v>7</v>
      </c>
      <c r="E278" s="13" t="n">
        <v>1</v>
      </c>
      <c r="F278" s="12" t="s">
        <v>82</v>
      </c>
      <c r="G278" s="12" t="s">
        <v>134</v>
      </c>
      <c r="H278" s="12" t="s">
        <v>1504</v>
      </c>
      <c r="I278" s="15" t="s">
        <v>1557</v>
      </c>
    </row>
    <row r="279" customFormat="false" ht="15" hidden="false" customHeight="false" outlineLevel="0" collapsed="false">
      <c r="A279" s="12" t="s">
        <v>124</v>
      </c>
      <c r="B279" s="13" t="s">
        <v>1529</v>
      </c>
      <c r="C279" s="13" t="n">
        <v>8</v>
      </c>
      <c r="D279" s="13" t="n">
        <v>7</v>
      </c>
      <c r="E279" s="13" t="n">
        <v>4</v>
      </c>
      <c r="F279" s="12" t="s">
        <v>81</v>
      </c>
      <c r="G279" s="12" t="s">
        <v>134</v>
      </c>
      <c r="H279" s="12" t="s">
        <v>1504</v>
      </c>
      <c r="I279" s="15" t="s">
        <v>1557</v>
      </c>
    </row>
    <row r="280" customFormat="false" ht="15" hidden="false" customHeight="false" outlineLevel="0" collapsed="false">
      <c r="A280" s="12" t="s">
        <v>124</v>
      </c>
      <c r="B280" s="13" t="s">
        <v>1530</v>
      </c>
      <c r="C280" s="13" t="n">
        <v>3</v>
      </c>
      <c r="D280" s="13"/>
      <c r="E280" s="13"/>
      <c r="F280" s="12" t="s">
        <v>81</v>
      </c>
      <c r="G280" s="12" t="s">
        <v>134</v>
      </c>
      <c r="H280" s="12" t="s">
        <v>1504</v>
      </c>
      <c r="I280" s="15" t="s">
        <v>1557</v>
      </c>
    </row>
    <row r="281" customFormat="false" ht="23.85" hidden="false" customHeight="false" outlineLevel="0" collapsed="false">
      <c r="A281" s="12" t="s">
        <v>1562</v>
      </c>
      <c r="B281" s="13" t="s">
        <v>249</v>
      </c>
      <c r="C281" s="13"/>
      <c r="D281" s="13" t="s">
        <v>1186</v>
      </c>
      <c r="E281" s="13"/>
      <c r="F281" s="12" t="s">
        <v>82</v>
      </c>
      <c r="G281" s="12" t="s">
        <v>170</v>
      </c>
      <c r="H281" s="12" t="s">
        <v>1494</v>
      </c>
      <c r="I281" s="15" t="s">
        <v>1495</v>
      </c>
    </row>
    <row r="282" customFormat="false" ht="23.85" hidden="false" customHeight="false" outlineLevel="0" collapsed="false">
      <c r="A282" s="12" t="s">
        <v>1562</v>
      </c>
      <c r="B282" s="13" t="s">
        <v>255</v>
      </c>
      <c r="C282" s="13"/>
      <c r="D282" s="13" t="s">
        <v>1186</v>
      </c>
      <c r="E282" s="13"/>
      <c r="F282" s="12" t="s">
        <v>82</v>
      </c>
      <c r="G282" s="12" t="s">
        <v>170</v>
      </c>
      <c r="H282" s="12" t="s">
        <v>1494</v>
      </c>
      <c r="I282" s="15" t="s">
        <v>1495</v>
      </c>
    </row>
    <row r="283" customFormat="false" ht="23.85" hidden="false" customHeight="false" outlineLevel="0" collapsed="false">
      <c r="A283" s="12" t="s">
        <v>1562</v>
      </c>
      <c r="B283" s="13" t="s">
        <v>377</v>
      </c>
      <c r="C283" s="13"/>
      <c r="D283" s="13"/>
      <c r="E283" s="13" t="s">
        <v>1186</v>
      </c>
      <c r="F283" s="12" t="s">
        <v>83</v>
      </c>
      <c r="G283" s="12" t="s">
        <v>170</v>
      </c>
      <c r="H283" s="12" t="s">
        <v>1494</v>
      </c>
      <c r="I283" s="15" t="s">
        <v>1495</v>
      </c>
    </row>
    <row r="284" customFormat="false" ht="23.85" hidden="false" customHeight="false" outlineLevel="0" collapsed="false">
      <c r="A284" s="12" t="s">
        <v>1562</v>
      </c>
      <c r="B284" s="13" t="s">
        <v>305</v>
      </c>
      <c r="C284" s="13"/>
      <c r="D284" s="13" t="s">
        <v>1186</v>
      </c>
      <c r="E284" s="13"/>
      <c r="F284" s="12" t="s">
        <v>82</v>
      </c>
      <c r="G284" s="12" t="s">
        <v>170</v>
      </c>
      <c r="H284" s="12" t="s">
        <v>1494</v>
      </c>
      <c r="I284" s="15" t="s">
        <v>1495</v>
      </c>
    </row>
    <row r="285" customFormat="false" ht="23.85" hidden="false" customHeight="false" outlineLevel="0" collapsed="false">
      <c r="A285" s="12" t="s">
        <v>1562</v>
      </c>
      <c r="B285" s="13" t="s">
        <v>1528</v>
      </c>
      <c r="C285" s="13"/>
      <c r="D285" s="13" t="s">
        <v>1186</v>
      </c>
      <c r="E285" s="13"/>
      <c r="F285" s="12" t="s">
        <v>82</v>
      </c>
      <c r="G285" s="12" t="s">
        <v>170</v>
      </c>
      <c r="H285" s="12" t="s">
        <v>1494</v>
      </c>
      <c r="I285" s="15" t="s">
        <v>1495</v>
      </c>
    </row>
    <row r="286" customFormat="false" ht="23.85" hidden="false" customHeight="false" outlineLevel="0" collapsed="false">
      <c r="A286" s="12" t="s">
        <v>1563</v>
      </c>
      <c r="B286" s="13" t="s">
        <v>255</v>
      </c>
      <c r="C286" s="13" t="s">
        <v>1186</v>
      </c>
      <c r="D286" s="13"/>
      <c r="E286" s="13"/>
      <c r="F286" s="12" t="s">
        <v>81</v>
      </c>
      <c r="G286" s="12" t="s">
        <v>170</v>
      </c>
      <c r="H286" s="12" t="s">
        <v>1494</v>
      </c>
      <c r="I286" s="15" t="s">
        <v>1495</v>
      </c>
    </row>
    <row r="287" customFormat="false" ht="23.85" hidden="false" customHeight="false" outlineLevel="0" collapsed="false">
      <c r="A287" s="12" t="s">
        <v>1564</v>
      </c>
      <c r="B287" s="13" t="s">
        <v>256</v>
      </c>
      <c r="C287" s="13" t="s">
        <v>1186</v>
      </c>
      <c r="D287" s="13"/>
      <c r="E287" s="13"/>
      <c r="F287" s="12" t="s">
        <v>81</v>
      </c>
      <c r="G287" s="12" t="s">
        <v>170</v>
      </c>
      <c r="H287" s="12" t="s">
        <v>1494</v>
      </c>
      <c r="I287" s="15" t="s">
        <v>1495</v>
      </c>
    </row>
    <row r="288" customFormat="false" ht="23.85" hidden="false" customHeight="false" outlineLevel="0" collapsed="false">
      <c r="A288" s="12" t="s">
        <v>1564</v>
      </c>
      <c r="B288" s="13" t="s">
        <v>1501</v>
      </c>
      <c r="C288" s="13" t="s">
        <v>1186</v>
      </c>
      <c r="D288" s="13" t="s">
        <v>1186</v>
      </c>
      <c r="E288" s="13"/>
      <c r="F288" s="12" t="s">
        <v>1518</v>
      </c>
      <c r="G288" s="12" t="s">
        <v>170</v>
      </c>
      <c r="H288" s="12" t="s">
        <v>1494</v>
      </c>
      <c r="I288" s="15" t="s">
        <v>1495</v>
      </c>
    </row>
    <row r="289" customFormat="false" ht="23.85" hidden="false" customHeight="false" outlineLevel="0" collapsed="false">
      <c r="A289" s="12" t="s">
        <v>1564</v>
      </c>
      <c r="B289" s="13" t="s">
        <v>442</v>
      </c>
      <c r="C289" s="13"/>
      <c r="D289" s="13" t="s">
        <v>1186</v>
      </c>
      <c r="E289" s="13"/>
      <c r="F289" s="12" t="s">
        <v>82</v>
      </c>
      <c r="G289" s="12" t="s">
        <v>170</v>
      </c>
      <c r="H289" s="12" t="s">
        <v>1494</v>
      </c>
      <c r="I289" s="15" t="s">
        <v>1495</v>
      </c>
    </row>
    <row r="290" customFormat="false" ht="23.85" hidden="false" customHeight="false" outlineLevel="0" collapsed="false">
      <c r="A290" s="12" t="s">
        <v>1564</v>
      </c>
      <c r="B290" s="13" t="s">
        <v>255</v>
      </c>
      <c r="C290" s="13" t="s">
        <v>1186</v>
      </c>
      <c r="D290" s="13" t="s">
        <v>1186</v>
      </c>
      <c r="E290" s="13"/>
      <c r="F290" s="12" t="s">
        <v>1518</v>
      </c>
      <c r="G290" s="12" t="s">
        <v>170</v>
      </c>
      <c r="H290" s="12" t="s">
        <v>1494</v>
      </c>
      <c r="I290" s="15" t="s">
        <v>1495</v>
      </c>
    </row>
    <row r="291" customFormat="false" ht="23.85" hidden="false" customHeight="false" outlineLevel="0" collapsed="false">
      <c r="A291" s="12" t="s">
        <v>1564</v>
      </c>
      <c r="B291" s="13" t="s">
        <v>1519</v>
      </c>
      <c r="C291" s="13" t="s">
        <v>1186</v>
      </c>
      <c r="D291" s="13"/>
      <c r="E291" s="13"/>
      <c r="F291" s="12" t="s">
        <v>81</v>
      </c>
      <c r="G291" s="12" t="s">
        <v>170</v>
      </c>
      <c r="H291" s="12" t="s">
        <v>1494</v>
      </c>
      <c r="I291" s="15" t="s">
        <v>1495</v>
      </c>
    </row>
    <row r="292" customFormat="false" ht="23.85" hidden="false" customHeight="false" outlineLevel="0" collapsed="false">
      <c r="A292" s="12" t="s">
        <v>1564</v>
      </c>
      <c r="B292" s="13" t="s">
        <v>377</v>
      </c>
      <c r="C292" s="13" t="s">
        <v>1186</v>
      </c>
      <c r="D292" s="13"/>
      <c r="E292" s="13"/>
      <c r="F292" s="12" t="s">
        <v>81</v>
      </c>
      <c r="G292" s="12" t="s">
        <v>170</v>
      </c>
      <c r="H292" s="12" t="s">
        <v>1494</v>
      </c>
      <c r="I292" s="15" t="s">
        <v>1495</v>
      </c>
    </row>
    <row r="293" customFormat="false" ht="23.85" hidden="false" customHeight="false" outlineLevel="0" collapsed="false">
      <c r="A293" s="12" t="s">
        <v>1564</v>
      </c>
      <c r="B293" s="13" t="s">
        <v>1523</v>
      </c>
      <c r="C293" s="13"/>
      <c r="D293" s="13" t="s">
        <v>1186</v>
      </c>
      <c r="E293" s="13"/>
      <c r="F293" s="12" t="s">
        <v>82</v>
      </c>
      <c r="G293" s="12" t="s">
        <v>170</v>
      </c>
      <c r="H293" s="12" t="s">
        <v>1494</v>
      </c>
      <c r="I293" s="15" t="s">
        <v>1495</v>
      </c>
    </row>
    <row r="294" customFormat="false" ht="23.85" hidden="false" customHeight="false" outlineLevel="0" collapsed="false">
      <c r="A294" s="12" t="s">
        <v>1564</v>
      </c>
      <c r="B294" s="13" t="s">
        <v>305</v>
      </c>
      <c r="C294" s="13" t="s">
        <v>1186</v>
      </c>
      <c r="D294" s="13" t="s">
        <v>1186</v>
      </c>
      <c r="E294" s="13"/>
      <c r="F294" s="12" t="s">
        <v>1518</v>
      </c>
      <c r="G294" s="12" t="s">
        <v>170</v>
      </c>
      <c r="H294" s="12" t="s">
        <v>1494</v>
      </c>
      <c r="I294" s="15" t="s">
        <v>1495</v>
      </c>
    </row>
    <row r="295" customFormat="false" ht="23.85" hidden="false" customHeight="false" outlineLevel="0" collapsed="false">
      <c r="A295" s="12" t="s">
        <v>1565</v>
      </c>
      <c r="B295" s="13" t="s">
        <v>1512</v>
      </c>
      <c r="C295" s="13" t="s">
        <v>1186</v>
      </c>
      <c r="D295" s="13"/>
      <c r="E295" s="13"/>
      <c r="F295" s="12" t="s">
        <v>81</v>
      </c>
      <c r="G295" s="12" t="s">
        <v>170</v>
      </c>
      <c r="H295" s="12" t="s">
        <v>1494</v>
      </c>
      <c r="I295" s="15" t="s">
        <v>1495</v>
      </c>
    </row>
    <row r="296" customFormat="false" ht="23.85" hidden="false" customHeight="false" outlineLevel="0" collapsed="false">
      <c r="A296" s="12" t="s">
        <v>1565</v>
      </c>
      <c r="B296" s="13" t="s">
        <v>255</v>
      </c>
      <c r="C296" s="13"/>
      <c r="D296" s="13" t="s">
        <v>1186</v>
      </c>
      <c r="E296" s="13"/>
      <c r="F296" s="12" t="s">
        <v>82</v>
      </c>
      <c r="G296" s="12" t="s">
        <v>170</v>
      </c>
      <c r="H296" s="12" t="s">
        <v>1494</v>
      </c>
      <c r="I296" s="15" t="s">
        <v>1495</v>
      </c>
    </row>
    <row r="297" customFormat="false" ht="23.85" hidden="false" customHeight="false" outlineLevel="0" collapsed="false">
      <c r="A297" s="12" t="s">
        <v>1565</v>
      </c>
      <c r="B297" s="13" t="s">
        <v>1519</v>
      </c>
      <c r="C297" s="13"/>
      <c r="D297" s="13" t="s">
        <v>1186</v>
      </c>
      <c r="E297" s="13"/>
      <c r="F297" s="12" t="s">
        <v>82</v>
      </c>
      <c r="G297" s="12" t="s">
        <v>170</v>
      </c>
      <c r="H297" s="12" t="s">
        <v>1494</v>
      </c>
      <c r="I297" s="15" t="s">
        <v>1495</v>
      </c>
    </row>
    <row r="298" customFormat="false" ht="23.85" hidden="false" customHeight="false" outlineLevel="0" collapsed="false">
      <c r="A298" s="12" t="s">
        <v>1565</v>
      </c>
      <c r="B298" s="13" t="s">
        <v>367</v>
      </c>
      <c r="C298" s="13" t="s">
        <v>1186</v>
      </c>
      <c r="D298" s="13" t="s">
        <v>1186</v>
      </c>
      <c r="E298" s="13"/>
      <c r="F298" s="12" t="s">
        <v>1518</v>
      </c>
      <c r="G298" s="12" t="s">
        <v>170</v>
      </c>
      <c r="H298" s="12" t="s">
        <v>1494</v>
      </c>
      <c r="I298" s="15" t="s">
        <v>1495</v>
      </c>
    </row>
    <row r="299" customFormat="false" ht="23.85" hidden="false" customHeight="false" outlineLevel="0" collapsed="false">
      <c r="A299" s="12" t="s">
        <v>1565</v>
      </c>
      <c r="B299" s="13" t="s">
        <v>377</v>
      </c>
      <c r="C299" s="13" t="s">
        <v>1186</v>
      </c>
      <c r="D299" s="13"/>
      <c r="E299" s="13"/>
      <c r="F299" s="12" t="s">
        <v>81</v>
      </c>
      <c r="G299" s="12" t="s">
        <v>170</v>
      </c>
      <c r="H299" s="12" t="s">
        <v>1494</v>
      </c>
      <c r="I299" s="15" t="s">
        <v>1495</v>
      </c>
    </row>
    <row r="300" customFormat="false" ht="23.85" hidden="false" customHeight="false" outlineLevel="0" collapsed="false">
      <c r="A300" s="12" t="s">
        <v>1565</v>
      </c>
      <c r="B300" s="13" t="s">
        <v>316</v>
      </c>
      <c r="C300" s="13" t="s">
        <v>1186</v>
      </c>
      <c r="D300" s="13"/>
      <c r="E300" s="13"/>
      <c r="F300" s="12" t="s">
        <v>81</v>
      </c>
      <c r="G300" s="12" t="s">
        <v>170</v>
      </c>
      <c r="H300" s="12" t="s">
        <v>1494</v>
      </c>
      <c r="I300" s="15" t="s">
        <v>1495</v>
      </c>
    </row>
    <row r="301" customFormat="false" ht="23.85" hidden="false" customHeight="false" outlineLevel="0" collapsed="false">
      <c r="A301" s="12" t="s">
        <v>1566</v>
      </c>
      <c r="B301" s="13" t="s">
        <v>255</v>
      </c>
      <c r="C301" s="13"/>
      <c r="D301" s="13" t="s">
        <v>1186</v>
      </c>
      <c r="E301" s="13"/>
      <c r="F301" s="12" t="s">
        <v>82</v>
      </c>
      <c r="G301" s="12" t="s">
        <v>170</v>
      </c>
      <c r="H301" s="12" t="s">
        <v>1494</v>
      </c>
      <c r="I301" s="15" t="s">
        <v>1495</v>
      </c>
    </row>
    <row r="302" customFormat="false" ht="23.85" hidden="false" customHeight="false" outlineLevel="0" collapsed="false">
      <c r="A302" s="12" t="s">
        <v>1566</v>
      </c>
      <c r="B302" s="13" t="s">
        <v>367</v>
      </c>
      <c r="C302" s="13"/>
      <c r="D302" s="13"/>
      <c r="E302" s="13" t="s">
        <v>1186</v>
      </c>
      <c r="F302" s="12" t="s">
        <v>83</v>
      </c>
      <c r="G302" s="12" t="s">
        <v>170</v>
      </c>
      <c r="H302" s="12" t="s">
        <v>1494</v>
      </c>
      <c r="I302" s="15" t="s">
        <v>1495</v>
      </c>
    </row>
    <row r="303" customFormat="false" ht="23.85" hidden="false" customHeight="false" outlineLevel="0" collapsed="false">
      <c r="A303" s="12" t="s">
        <v>1567</v>
      </c>
      <c r="B303" s="13" t="s">
        <v>445</v>
      </c>
      <c r="C303" s="13"/>
      <c r="D303" s="13"/>
      <c r="E303" s="13" t="s">
        <v>1186</v>
      </c>
      <c r="F303" s="12" t="s">
        <v>83</v>
      </c>
      <c r="G303" s="12" t="s">
        <v>170</v>
      </c>
      <c r="H303" s="12" t="s">
        <v>1494</v>
      </c>
      <c r="I303" s="15" t="s">
        <v>1495</v>
      </c>
    </row>
    <row r="304" customFormat="false" ht="23.85" hidden="false" customHeight="false" outlineLevel="0" collapsed="false">
      <c r="A304" s="12" t="s">
        <v>1568</v>
      </c>
      <c r="B304" s="13" t="s">
        <v>367</v>
      </c>
      <c r="C304" s="13" t="s">
        <v>1186</v>
      </c>
      <c r="D304" s="13"/>
      <c r="E304" s="13"/>
      <c r="F304" s="12" t="s">
        <v>81</v>
      </c>
      <c r="G304" s="12" t="s">
        <v>170</v>
      </c>
      <c r="H304" s="12" t="s">
        <v>1494</v>
      </c>
      <c r="I304" s="15" t="s">
        <v>1495</v>
      </c>
    </row>
    <row r="305" customFormat="false" ht="23.85" hidden="false" customHeight="false" outlineLevel="0" collapsed="false">
      <c r="A305" s="12" t="s">
        <v>1568</v>
      </c>
      <c r="B305" s="13" t="s">
        <v>305</v>
      </c>
      <c r="C305" s="13" t="s">
        <v>1186</v>
      </c>
      <c r="D305" s="13"/>
      <c r="E305" s="13"/>
      <c r="F305" s="12" t="s">
        <v>81</v>
      </c>
      <c r="G305" s="12" t="s">
        <v>170</v>
      </c>
      <c r="H305" s="12" t="s">
        <v>1494</v>
      </c>
      <c r="I305" s="15" t="s">
        <v>1495</v>
      </c>
    </row>
    <row r="306" customFormat="false" ht="23.85" hidden="false" customHeight="false" outlineLevel="0" collapsed="false">
      <c r="A306" s="12" t="s">
        <v>1568</v>
      </c>
      <c r="B306" s="13" t="s">
        <v>1529</v>
      </c>
      <c r="C306" s="13" t="s">
        <v>1186</v>
      </c>
      <c r="D306" s="13"/>
      <c r="E306" s="13"/>
      <c r="F306" s="12" t="s">
        <v>81</v>
      </c>
      <c r="G306" s="12" t="s">
        <v>170</v>
      </c>
      <c r="H306" s="12" t="s">
        <v>1494</v>
      </c>
      <c r="I306" s="15" t="s">
        <v>1495</v>
      </c>
    </row>
    <row r="307" customFormat="false" ht="23.85" hidden="false" customHeight="false" outlineLevel="0" collapsed="false">
      <c r="A307" s="12" t="s">
        <v>1569</v>
      </c>
      <c r="B307" s="13" t="s">
        <v>255</v>
      </c>
      <c r="C307" s="13"/>
      <c r="D307" s="13" t="s">
        <v>1186</v>
      </c>
      <c r="E307" s="13"/>
      <c r="F307" s="12" t="s">
        <v>82</v>
      </c>
      <c r="G307" s="12" t="s">
        <v>170</v>
      </c>
      <c r="H307" s="12" t="s">
        <v>1494</v>
      </c>
      <c r="I307" s="15" t="s">
        <v>1495</v>
      </c>
    </row>
    <row r="308" customFormat="false" ht="23.85" hidden="false" customHeight="false" outlineLevel="0" collapsed="false">
      <c r="A308" s="12" t="s">
        <v>1569</v>
      </c>
      <c r="B308" s="13" t="s">
        <v>367</v>
      </c>
      <c r="C308" s="13"/>
      <c r="D308" s="13"/>
      <c r="E308" s="13" t="s">
        <v>1186</v>
      </c>
      <c r="F308" s="12" t="s">
        <v>83</v>
      </c>
      <c r="G308" s="12" t="s">
        <v>170</v>
      </c>
      <c r="H308" s="12" t="s">
        <v>1494</v>
      </c>
      <c r="I308" s="15" t="s">
        <v>1495</v>
      </c>
    </row>
    <row r="309" customFormat="false" ht="23.85" hidden="false" customHeight="false" outlineLevel="0" collapsed="false">
      <c r="A309" s="12" t="s">
        <v>1569</v>
      </c>
      <c r="B309" s="13" t="s">
        <v>1528</v>
      </c>
      <c r="C309" s="13"/>
      <c r="D309" s="13" t="s">
        <v>1186</v>
      </c>
      <c r="E309" s="13"/>
      <c r="F309" s="12" t="s">
        <v>82</v>
      </c>
      <c r="G309" s="12" t="s">
        <v>170</v>
      </c>
      <c r="H309" s="12" t="s">
        <v>1494</v>
      </c>
      <c r="I309" s="15" t="s">
        <v>1495</v>
      </c>
    </row>
    <row r="310" customFormat="false" ht="23.85" hidden="false" customHeight="false" outlineLevel="0" collapsed="false">
      <c r="A310" s="12" t="s">
        <v>1570</v>
      </c>
      <c r="B310" s="13" t="s">
        <v>1507</v>
      </c>
      <c r="C310" s="13" t="s">
        <v>1186</v>
      </c>
      <c r="D310" s="13"/>
      <c r="E310" s="13"/>
      <c r="F310" s="12" t="s">
        <v>81</v>
      </c>
      <c r="G310" s="12" t="s">
        <v>170</v>
      </c>
      <c r="H310" s="12" t="s">
        <v>1494</v>
      </c>
      <c r="I310" s="15" t="s">
        <v>1495</v>
      </c>
    </row>
    <row r="311" customFormat="false" ht="23.85" hidden="false" customHeight="false" outlineLevel="0" collapsed="false">
      <c r="A311" s="12" t="s">
        <v>1570</v>
      </c>
      <c r="B311" s="13" t="s">
        <v>249</v>
      </c>
      <c r="C311" s="13" t="s">
        <v>1186</v>
      </c>
      <c r="D311" s="13"/>
      <c r="E311" s="13"/>
      <c r="F311" s="12" t="s">
        <v>81</v>
      </c>
      <c r="G311" s="12" t="s">
        <v>170</v>
      </c>
      <c r="H311" s="12" t="s">
        <v>1494</v>
      </c>
      <c r="I311" s="15" t="s">
        <v>1495</v>
      </c>
    </row>
    <row r="312" customFormat="false" ht="23.85" hidden="false" customHeight="false" outlineLevel="0" collapsed="false">
      <c r="A312" s="12" t="s">
        <v>1570</v>
      </c>
      <c r="B312" s="13" t="s">
        <v>256</v>
      </c>
      <c r="C312" s="13" t="s">
        <v>1186</v>
      </c>
      <c r="D312" s="13" t="s">
        <v>1186</v>
      </c>
      <c r="E312" s="13"/>
      <c r="F312" s="12" t="s">
        <v>1518</v>
      </c>
      <c r="G312" s="12" t="s">
        <v>170</v>
      </c>
      <c r="H312" s="12" t="s">
        <v>1494</v>
      </c>
      <c r="I312" s="15" t="s">
        <v>1495</v>
      </c>
    </row>
    <row r="313" customFormat="false" ht="23.85" hidden="false" customHeight="false" outlineLevel="0" collapsed="false">
      <c r="A313" s="12" t="s">
        <v>1570</v>
      </c>
      <c r="B313" s="13" t="s">
        <v>1501</v>
      </c>
      <c r="C313" s="13"/>
      <c r="D313" s="13" t="s">
        <v>1186</v>
      </c>
      <c r="E313" s="13"/>
      <c r="F313" s="12" t="s">
        <v>82</v>
      </c>
      <c r="G313" s="12" t="s">
        <v>170</v>
      </c>
      <c r="H313" s="12" t="s">
        <v>1494</v>
      </c>
      <c r="I313" s="15" t="s">
        <v>1495</v>
      </c>
    </row>
    <row r="314" customFormat="false" ht="23.85" hidden="false" customHeight="false" outlineLevel="0" collapsed="false">
      <c r="A314" s="12" t="s">
        <v>1570</v>
      </c>
      <c r="B314" s="13" t="s">
        <v>300</v>
      </c>
      <c r="C314" s="13" t="s">
        <v>1186</v>
      </c>
      <c r="D314" s="13"/>
      <c r="E314" s="13"/>
      <c r="F314" s="12" t="s">
        <v>81</v>
      </c>
      <c r="G314" s="12" t="s">
        <v>170</v>
      </c>
      <c r="H314" s="12" t="s">
        <v>1494</v>
      </c>
      <c r="I314" s="15" t="s">
        <v>1495</v>
      </c>
    </row>
    <row r="315" customFormat="false" ht="23.85" hidden="false" customHeight="false" outlineLevel="0" collapsed="false">
      <c r="A315" s="12" t="s">
        <v>1570</v>
      </c>
      <c r="B315" s="13" t="s">
        <v>1512</v>
      </c>
      <c r="C315" s="13" t="s">
        <v>1186</v>
      </c>
      <c r="D315" s="13"/>
      <c r="E315" s="13"/>
      <c r="F315" s="12" t="s">
        <v>81</v>
      </c>
      <c r="G315" s="12" t="s">
        <v>170</v>
      </c>
      <c r="H315" s="12" t="s">
        <v>1494</v>
      </c>
      <c r="I315" s="15" t="s">
        <v>1495</v>
      </c>
    </row>
    <row r="316" customFormat="false" ht="23.85" hidden="false" customHeight="false" outlineLevel="0" collapsed="false">
      <c r="A316" s="12" t="s">
        <v>1570</v>
      </c>
      <c r="B316" s="13" t="s">
        <v>442</v>
      </c>
      <c r="C316" s="13"/>
      <c r="D316" s="13" t="s">
        <v>1186</v>
      </c>
      <c r="E316" s="13"/>
      <c r="F316" s="12" t="s">
        <v>82</v>
      </c>
      <c r="G316" s="12" t="s">
        <v>170</v>
      </c>
      <c r="H316" s="12" t="s">
        <v>1494</v>
      </c>
      <c r="I316" s="15" t="s">
        <v>1495</v>
      </c>
    </row>
    <row r="317" customFormat="false" ht="23.85" hidden="false" customHeight="false" outlineLevel="0" collapsed="false">
      <c r="A317" s="12" t="s">
        <v>1570</v>
      </c>
      <c r="B317" s="13" t="s">
        <v>1513</v>
      </c>
      <c r="C317" s="13" t="s">
        <v>1186</v>
      </c>
      <c r="D317" s="13"/>
      <c r="E317" s="13" t="s">
        <v>1186</v>
      </c>
      <c r="F317" s="12" t="s">
        <v>1499</v>
      </c>
      <c r="G317" s="12" t="s">
        <v>170</v>
      </c>
      <c r="H317" s="12" t="s">
        <v>1494</v>
      </c>
      <c r="I317" s="15" t="s">
        <v>1495</v>
      </c>
    </row>
    <row r="318" customFormat="false" ht="23.85" hidden="false" customHeight="false" outlineLevel="0" collapsed="false">
      <c r="A318" s="12" t="s">
        <v>1570</v>
      </c>
      <c r="B318" s="13" t="s">
        <v>1519</v>
      </c>
      <c r="C318" s="13" t="s">
        <v>1186</v>
      </c>
      <c r="D318" s="13" t="s">
        <v>1186</v>
      </c>
      <c r="E318" s="13"/>
      <c r="F318" s="12" t="s">
        <v>1518</v>
      </c>
      <c r="G318" s="12" t="s">
        <v>170</v>
      </c>
      <c r="H318" s="12" t="s">
        <v>1494</v>
      </c>
      <c r="I318" s="15" t="s">
        <v>1495</v>
      </c>
    </row>
    <row r="319" customFormat="false" ht="23.85" hidden="false" customHeight="false" outlineLevel="0" collapsed="false">
      <c r="A319" s="12" t="s">
        <v>1570</v>
      </c>
      <c r="B319" s="13" t="s">
        <v>367</v>
      </c>
      <c r="C319" s="13" t="s">
        <v>1186</v>
      </c>
      <c r="D319" s="13"/>
      <c r="E319" s="13"/>
      <c r="F319" s="12" t="s">
        <v>81</v>
      </c>
      <c r="G319" s="12" t="s">
        <v>170</v>
      </c>
      <c r="H319" s="12" t="s">
        <v>1494</v>
      </c>
      <c r="I319" s="15" t="s">
        <v>1495</v>
      </c>
    </row>
    <row r="320" customFormat="false" ht="23.85" hidden="false" customHeight="false" outlineLevel="0" collapsed="false">
      <c r="A320" s="12" t="s">
        <v>1570</v>
      </c>
      <c r="B320" s="13" t="s">
        <v>1521</v>
      </c>
      <c r="C320" s="13"/>
      <c r="D320" s="13" t="s">
        <v>1186</v>
      </c>
      <c r="E320" s="13"/>
      <c r="F320" s="12" t="s">
        <v>82</v>
      </c>
      <c r="G320" s="12" t="s">
        <v>170</v>
      </c>
      <c r="H320" s="12" t="s">
        <v>1494</v>
      </c>
      <c r="I320" s="15" t="s">
        <v>1495</v>
      </c>
    </row>
    <row r="321" customFormat="false" ht="23.85" hidden="false" customHeight="false" outlineLevel="0" collapsed="false">
      <c r="A321" s="12" t="s">
        <v>1570</v>
      </c>
      <c r="B321" s="13" t="s">
        <v>377</v>
      </c>
      <c r="C321" s="13" t="s">
        <v>1186</v>
      </c>
      <c r="D321" s="13" t="s">
        <v>1186</v>
      </c>
      <c r="E321" s="13"/>
      <c r="F321" s="12" t="s">
        <v>1518</v>
      </c>
      <c r="G321" s="12" t="s">
        <v>170</v>
      </c>
      <c r="H321" s="12" t="s">
        <v>1494</v>
      </c>
      <c r="I321" s="15" t="s">
        <v>1495</v>
      </c>
    </row>
    <row r="322" customFormat="false" ht="23.85" hidden="false" customHeight="false" outlineLevel="0" collapsed="false">
      <c r="A322" s="12" t="s">
        <v>1570</v>
      </c>
      <c r="B322" s="13" t="s">
        <v>316</v>
      </c>
      <c r="C322" s="13" t="s">
        <v>1186</v>
      </c>
      <c r="D322" s="13"/>
      <c r="E322" s="13"/>
      <c r="F322" s="12" t="s">
        <v>81</v>
      </c>
      <c r="G322" s="12" t="s">
        <v>170</v>
      </c>
      <c r="H322" s="12" t="s">
        <v>1494</v>
      </c>
      <c r="I322" s="15" t="s">
        <v>1495</v>
      </c>
    </row>
    <row r="323" customFormat="false" ht="23.85" hidden="false" customHeight="false" outlineLevel="0" collapsed="false">
      <c r="A323" s="12" t="s">
        <v>1570</v>
      </c>
      <c r="B323" s="13" t="s">
        <v>1528</v>
      </c>
      <c r="C323" s="13" t="s">
        <v>1186</v>
      </c>
      <c r="D323" s="13"/>
      <c r="E323" s="13"/>
      <c r="F323" s="12" t="s">
        <v>81</v>
      </c>
      <c r="G323" s="12" t="s">
        <v>170</v>
      </c>
      <c r="H323" s="12" t="s">
        <v>1494</v>
      </c>
      <c r="I323" s="15" t="s">
        <v>1495</v>
      </c>
    </row>
    <row r="324" customFormat="false" ht="23.85" hidden="false" customHeight="false" outlineLevel="0" collapsed="false">
      <c r="A324" s="12" t="s">
        <v>1571</v>
      </c>
      <c r="B324" s="13" t="s">
        <v>1507</v>
      </c>
      <c r="C324" s="13" t="s">
        <v>1186</v>
      </c>
      <c r="D324" s="13"/>
      <c r="E324" s="13"/>
      <c r="F324" s="12" t="s">
        <v>81</v>
      </c>
      <c r="G324" s="12" t="s">
        <v>170</v>
      </c>
      <c r="H324" s="12" t="s">
        <v>1494</v>
      </c>
      <c r="I324" s="15" t="s">
        <v>1495</v>
      </c>
    </row>
    <row r="325" customFormat="false" ht="23.85" hidden="false" customHeight="false" outlineLevel="0" collapsed="false">
      <c r="A325" s="12" t="s">
        <v>1571</v>
      </c>
      <c r="B325" s="13" t="s">
        <v>249</v>
      </c>
      <c r="C325" s="13"/>
      <c r="D325" s="13" t="s">
        <v>1186</v>
      </c>
      <c r="E325" s="13"/>
      <c r="F325" s="12" t="s">
        <v>82</v>
      </c>
      <c r="G325" s="12" t="s">
        <v>170</v>
      </c>
      <c r="H325" s="12" t="s">
        <v>1494</v>
      </c>
      <c r="I325" s="15" t="s">
        <v>1495</v>
      </c>
    </row>
    <row r="326" customFormat="false" ht="23.85" hidden="false" customHeight="false" outlineLevel="0" collapsed="false">
      <c r="A326" s="12" t="s">
        <v>1571</v>
      </c>
      <c r="B326" s="13" t="s">
        <v>1511</v>
      </c>
      <c r="C326" s="13" t="s">
        <v>1186</v>
      </c>
      <c r="D326" s="13"/>
      <c r="E326" s="13"/>
      <c r="F326" s="12" t="s">
        <v>81</v>
      </c>
      <c r="G326" s="12" t="s">
        <v>170</v>
      </c>
      <c r="H326" s="12" t="s">
        <v>1494</v>
      </c>
      <c r="I326" s="15" t="s">
        <v>1495</v>
      </c>
    </row>
    <row r="327" customFormat="false" ht="23.85" hidden="false" customHeight="false" outlineLevel="0" collapsed="false">
      <c r="A327" s="12" t="s">
        <v>1571</v>
      </c>
      <c r="B327" s="13" t="s">
        <v>256</v>
      </c>
      <c r="C327" s="13" t="s">
        <v>1186</v>
      </c>
      <c r="D327" s="13"/>
      <c r="E327" s="13"/>
      <c r="F327" s="12" t="s">
        <v>81</v>
      </c>
      <c r="G327" s="12" t="s">
        <v>170</v>
      </c>
      <c r="H327" s="12" t="s">
        <v>1494</v>
      </c>
      <c r="I327" s="15" t="s">
        <v>1495</v>
      </c>
    </row>
    <row r="328" customFormat="false" ht="23.85" hidden="false" customHeight="false" outlineLevel="0" collapsed="false">
      <c r="A328" s="12" t="s">
        <v>1571</v>
      </c>
      <c r="B328" s="13" t="s">
        <v>1501</v>
      </c>
      <c r="C328" s="13" t="s">
        <v>1186</v>
      </c>
      <c r="D328" s="13" t="s">
        <v>1186</v>
      </c>
      <c r="E328" s="13"/>
      <c r="F328" s="12" t="s">
        <v>1518</v>
      </c>
      <c r="G328" s="12" t="s">
        <v>170</v>
      </c>
      <c r="H328" s="12" t="s">
        <v>1494</v>
      </c>
      <c r="I328" s="15" t="s">
        <v>1495</v>
      </c>
    </row>
    <row r="329" customFormat="false" ht="23.85" hidden="false" customHeight="false" outlineLevel="0" collapsed="false">
      <c r="A329" s="12" t="s">
        <v>1571</v>
      </c>
      <c r="B329" s="13" t="s">
        <v>300</v>
      </c>
      <c r="C329" s="13"/>
      <c r="D329" s="13"/>
      <c r="E329" s="13" t="s">
        <v>1186</v>
      </c>
      <c r="F329" s="12" t="s">
        <v>83</v>
      </c>
      <c r="G329" s="12" t="s">
        <v>170</v>
      </c>
      <c r="H329" s="12" t="s">
        <v>1494</v>
      </c>
      <c r="I329" s="15" t="s">
        <v>1495</v>
      </c>
    </row>
    <row r="330" customFormat="false" ht="23.85" hidden="false" customHeight="false" outlineLevel="0" collapsed="false">
      <c r="A330" s="12" t="s">
        <v>1571</v>
      </c>
      <c r="B330" s="13" t="s">
        <v>442</v>
      </c>
      <c r="C330" s="13" t="s">
        <v>1186</v>
      </c>
      <c r="D330" s="13"/>
      <c r="E330" s="13"/>
      <c r="F330" s="12" t="s">
        <v>81</v>
      </c>
      <c r="G330" s="12" t="s">
        <v>170</v>
      </c>
      <c r="H330" s="12" t="s">
        <v>1494</v>
      </c>
      <c r="I330" s="15" t="s">
        <v>1495</v>
      </c>
    </row>
    <row r="331" customFormat="false" ht="23.85" hidden="false" customHeight="false" outlineLevel="0" collapsed="false">
      <c r="A331" s="12" t="s">
        <v>1571</v>
      </c>
      <c r="B331" s="13" t="s">
        <v>1513</v>
      </c>
      <c r="C331" s="13" t="s">
        <v>1186</v>
      </c>
      <c r="D331" s="13"/>
      <c r="E331" s="13"/>
      <c r="F331" s="12" t="s">
        <v>81</v>
      </c>
      <c r="G331" s="12" t="s">
        <v>170</v>
      </c>
      <c r="H331" s="12" t="s">
        <v>1494</v>
      </c>
      <c r="I331" s="15" t="s">
        <v>1495</v>
      </c>
    </row>
    <row r="332" customFormat="false" ht="23.85" hidden="false" customHeight="false" outlineLevel="0" collapsed="false">
      <c r="A332" s="12" t="s">
        <v>1571</v>
      </c>
      <c r="B332" s="13" t="s">
        <v>255</v>
      </c>
      <c r="C332" s="13" t="s">
        <v>1186</v>
      </c>
      <c r="D332" s="13"/>
      <c r="E332" s="13"/>
      <c r="F332" s="12" t="s">
        <v>81</v>
      </c>
      <c r="G332" s="12" t="s">
        <v>170</v>
      </c>
      <c r="H332" s="12" t="s">
        <v>1494</v>
      </c>
      <c r="I332" s="15" t="s">
        <v>1495</v>
      </c>
    </row>
    <row r="333" customFormat="false" ht="23.85" hidden="false" customHeight="false" outlineLevel="0" collapsed="false">
      <c r="A333" s="12" t="s">
        <v>1571</v>
      </c>
      <c r="B333" s="13" t="s">
        <v>1515</v>
      </c>
      <c r="C333" s="13"/>
      <c r="D333" s="13" t="s">
        <v>1186</v>
      </c>
      <c r="E333" s="13"/>
      <c r="F333" s="12" t="s">
        <v>82</v>
      </c>
      <c r="G333" s="12" t="s">
        <v>170</v>
      </c>
      <c r="H333" s="12" t="s">
        <v>1494</v>
      </c>
      <c r="I333" s="15" t="s">
        <v>1495</v>
      </c>
    </row>
    <row r="334" customFormat="false" ht="23.85" hidden="false" customHeight="false" outlineLevel="0" collapsed="false">
      <c r="A334" s="12" t="s">
        <v>1571</v>
      </c>
      <c r="B334" s="13" t="s">
        <v>490</v>
      </c>
      <c r="C334" s="13" t="s">
        <v>1186</v>
      </c>
      <c r="D334" s="13"/>
      <c r="E334" s="13"/>
      <c r="F334" s="12" t="s">
        <v>81</v>
      </c>
      <c r="G334" s="12" t="s">
        <v>170</v>
      </c>
      <c r="H334" s="12" t="s">
        <v>1494</v>
      </c>
      <c r="I334" s="15" t="s">
        <v>1495</v>
      </c>
    </row>
    <row r="335" customFormat="false" ht="23.85" hidden="false" customHeight="false" outlineLevel="0" collapsed="false">
      <c r="A335" s="12" t="s">
        <v>1571</v>
      </c>
      <c r="B335" s="13" t="s">
        <v>367</v>
      </c>
      <c r="C335" s="13" t="s">
        <v>1186</v>
      </c>
      <c r="D335" s="13"/>
      <c r="E335" s="13" t="s">
        <v>1186</v>
      </c>
      <c r="F335" s="12" t="s">
        <v>1499</v>
      </c>
      <c r="G335" s="12" t="s">
        <v>170</v>
      </c>
      <c r="H335" s="12" t="s">
        <v>1494</v>
      </c>
      <c r="I335" s="15" t="s">
        <v>1495</v>
      </c>
    </row>
    <row r="336" customFormat="false" ht="23.85" hidden="false" customHeight="false" outlineLevel="0" collapsed="false">
      <c r="A336" s="12" t="s">
        <v>1571</v>
      </c>
      <c r="B336" s="13" t="s">
        <v>377</v>
      </c>
      <c r="C336" s="13" t="s">
        <v>1186</v>
      </c>
      <c r="D336" s="13"/>
      <c r="E336" s="13"/>
      <c r="F336" s="12" t="s">
        <v>81</v>
      </c>
      <c r="G336" s="12" t="s">
        <v>170</v>
      </c>
      <c r="H336" s="12" t="s">
        <v>1494</v>
      </c>
      <c r="I336" s="15" t="s">
        <v>1495</v>
      </c>
    </row>
    <row r="337" customFormat="false" ht="23.85" hidden="false" customHeight="false" outlineLevel="0" collapsed="false">
      <c r="A337" s="12" t="s">
        <v>1571</v>
      </c>
      <c r="B337" s="13" t="s">
        <v>305</v>
      </c>
      <c r="C337" s="13" t="s">
        <v>1186</v>
      </c>
      <c r="D337" s="13"/>
      <c r="E337" s="13"/>
      <c r="F337" s="12" t="s">
        <v>81</v>
      </c>
      <c r="G337" s="12" t="s">
        <v>170</v>
      </c>
      <c r="H337" s="12" t="s">
        <v>1494</v>
      </c>
      <c r="I337" s="15" t="s">
        <v>1495</v>
      </c>
    </row>
    <row r="338" customFormat="false" ht="23.85" hidden="false" customHeight="false" outlineLevel="0" collapsed="false">
      <c r="A338" s="12" t="s">
        <v>1571</v>
      </c>
      <c r="B338" s="13" t="s">
        <v>381</v>
      </c>
      <c r="C338" s="13" t="s">
        <v>1186</v>
      </c>
      <c r="D338" s="13"/>
      <c r="E338" s="13"/>
      <c r="F338" s="12" t="s">
        <v>81</v>
      </c>
      <c r="G338" s="12" t="s">
        <v>170</v>
      </c>
      <c r="H338" s="12" t="s">
        <v>1494</v>
      </c>
      <c r="I338" s="15" t="s">
        <v>1495</v>
      </c>
    </row>
    <row r="339" customFormat="false" ht="23.85" hidden="false" customHeight="false" outlineLevel="0" collapsed="false">
      <c r="A339" s="12" t="s">
        <v>1571</v>
      </c>
      <c r="B339" s="13" t="s">
        <v>316</v>
      </c>
      <c r="C339" s="13" t="s">
        <v>1186</v>
      </c>
      <c r="D339" s="13"/>
      <c r="E339" s="13"/>
      <c r="F339" s="12" t="s">
        <v>81</v>
      </c>
      <c r="G339" s="12" t="s">
        <v>170</v>
      </c>
      <c r="H339" s="12" t="s">
        <v>1494</v>
      </c>
      <c r="I339" s="15" t="s">
        <v>1495</v>
      </c>
    </row>
    <row r="340" customFormat="false" ht="23.85" hidden="false" customHeight="false" outlineLevel="0" collapsed="false">
      <c r="A340" s="12" t="s">
        <v>1572</v>
      </c>
      <c r="B340" s="13" t="s">
        <v>1501</v>
      </c>
      <c r="C340" s="13" t="s">
        <v>1186</v>
      </c>
      <c r="D340" s="13"/>
      <c r="E340" s="13"/>
      <c r="F340" s="12" t="s">
        <v>81</v>
      </c>
      <c r="G340" s="12" t="s">
        <v>170</v>
      </c>
      <c r="H340" s="12" t="s">
        <v>1494</v>
      </c>
      <c r="I340" s="15" t="s">
        <v>1495</v>
      </c>
    </row>
    <row r="341" customFormat="false" ht="23.85" hidden="false" customHeight="false" outlineLevel="0" collapsed="false">
      <c r="A341" s="12" t="s">
        <v>1573</v>
      </c>
      <c r="B341" s="13" t="s">
        <v>1503</v>
      </c>
      <c r="C341" s="13"/>
      <c r="D341" s="13"/>
      <c r="E341" s="13" t="s">
        <v>1186</v>
      </c>
      <c r="F341" s="12" t="s">
        <v>83</v>
      </c>
      <c r="G341" s="12" t="s">
        <v>170</v>
      </c>
      <c r="H341" s="12" t="s">
        <v>1494</v>
      </c>
      <c r="I341" s="15" t="s">
        <v>1495</v>
      </c>
    </row>
    <row r="342" customFormat="false" ht="23.85" hidden="false" customHeight="false" outlineLevel="0" collapsed="false">
      <c r="A342" s="12" t="s">
        <v>1573</v>
      </c>
      <c r="B342" s="13" t="s">
        <v>1507</v>
      </c>
      <c r="C342" s="13"/>
      <c r="D342" s="13"/>
      <c r="E342" s="13" t="s">
        <v>1186</v>
      </c>
      <c r="F342" s="12" t="s">
        <v>83</v>
      </c>
      <c r="G342" s="12" t="s">
        <v>170</v>
      </c>
      <c r="H342" s="12" t="s">
        <v>1494</v>
      </c>
      <c r="I342" s="15" t="s">
        <v>1495</v>
      </c>
    </row>
    <row r="343" customFormat="false" ht="23.85" hidden="false" customHeight="false" outlineLevel="0" collapsed="false">
      <c r="A343" s="12" t="s">
        <v>1573</v>
      </c>
      <c r="B343" s="13" t="s">
        <v>249</v>
      </c>
      <c r="C343" s="13" t="s">
        <v>1186</v>
      </c>
      <c r="D343" s="13"/>
      <c r="E343" s="13" t="s">
        <v>1186</v>
      </c>
      <c r="F343" s="12" t="s">
        <v>1499</v>
      </c>
      <c r="G343" s="12" t="s">
        <v>170</v>
      </c>
      <c r="H343" s="12" t="s">
        <v>1494</v>
      </c>
      <c r="I343" s="15" t="s">
        <v>1495</v>
      </c>
    </row>
    <row r="344" customFormat="false" ht="23.85" hidden="false" customHeight="false" outlineLevel="0" collapsed="false">
      <c r="A344" s="12" t="s">
        <v>1573</v>
      </c>
      <c r="B344" s="13" t="s">
        <v>1508</v>
      </c>
      <c r="C344" s="13" t="s">
        <v>1186</v>
      </c>
      <c r="D344" s="13"/>
      <c r="E344" s="13"/>
      <c r="F344" s="12" t="s">
        <v>81</v>
      </c>
      <c r="G344" s="12" t="s">
        <v>170</v>
      </c>
      <c r="H344" s="12" t="s">
        <v>1494</v>
      </c>
      <c r="I344" s="15" t="s">
        <v>1495</v>
      </c>
    </row>
    <row r="345" customFormat="false" ht="23.85" hidden="false" customHeight="false" outlineLevel="0" collapsed="false">
      <c r="A345" s="12" t="s">
        <v>1573</v>
      </c>
      <c r="B345" s="13" t="s">
        <v>1509</v>
      </c>
      <c r="C345" s="13"/>
      <c r="D345" s="13"/>
      <c r="E345" s="13" t="s">
        <v>1186</v>
      </c>
      <c r="F345" s="12" t="s">
        <v>83</v>
      </c>
      <c r="G345" s="12" t="s">
        <v>170</v>
      </c>
      <c r="H345" s="12" t="s">
        <v>1494</v>
      </c>
      <c r="I345" s="15" t="s">
        <v>1495</v>
      </c>
    </row>
    <row r="346" customFormat="false" ht="23.85" hidden="false" customHeight="false" outlineLevel="0" collapsed="false">
      <c r="A346" s="12" t="s">
        <v>1573</v>
      </c>
      <c r="B346" s="13" t="s">
        <v>256</v>
      </c>
      <c r="C346" s="13"/>
      <c r="D346" s="13" t="s">
        <v>1186</v>
      </c>
      <c r="E346" s="13"/>
      <c r="F346" s="12" t="s">
        <v>82</v>
      </c>
      <c r="G346" s="12" t="s">
        <v>170</v>
      </c>
      <c r="H346" s="12" t="s">
        <v>1494</v>
      </c>
      <c r="I346" s="15" t="s">
        <v>1495</v>
      </c>
    </row>
    <row r="347" customFormat="false" ht="23.85" hidden="false" customHeight="false" outlineLevel="0" collapsed="false">
      <c r="A347" s="12" t="s">
        <v>1573</v>
      </c>
      <c r="B347" s="13" t="s">
        <v>1501</v>
      </c>
      <c r="C347" s="13"/>
      <c r="D347" s="13" t="s">
        <v>1186</v>
      </c>
      <c r="E347" s="13" t="s">
        <v>1186</v>
      </c>
      <c r="F347" s="12" t="s">
        <v>1542</v>
      </c>
      <c r="G347" s="12" t="s">
        <v>170</v>
      </c>
      <c r="H347" s="12" t="s">
        <v>1494</v>
      </c>
      <c r="I347" s="15" t="s">
        <v>1495</v>
      </c>
    </row>
    <row r="348" customFormat="false" ht="23.85" hidden="false" customHeight="false" outlineLevel="0" collapsed="false">
      <c r="A348" s="12" t="s">
        <v>1573</v>
      </c>
      <c r="B348" s="13" t="s">
        <v>1512</v>
      </c>
      <c r="C348" s="13"/>
      <c r="D348" s="13"/>
      <c r="E348" s="13" t="s">
        <v>1186</v>
      </c>
      <c r="F348" s="12" t="s">
        <v>83</v>
      </c>
      <c r="G348" s="12" t="s">
        <v>170</v>
      </c>
      <c r="H348" s="12" t="s">
        <v>1494</v>
      </c>
      <c r="I348" s="15" t="s">
        <v>1495</v>
      </c>
    </row>
    <row r="349" customFormat="false" ht="23.85" hidden="false" customHeight="false" outlineLevel="0" collapsed="false">
      <c r="A349" s="12" t="s">
        <v>1573</v>
      </c>
      <c r="B349" s="13" t="s">
        <v>442</v>
      </c>
      <c r="C349" s="13"/>
      <c r="D349" s="13"/>
      <c r="E349" s="13" t="s">
        <v>1186</v>
      </c>
      <c r="F349" s="12" t="s">
        <v>83</v>
      </c>
      <c r="G349" s="12" t="s">
        <v>170</v>
      </c>
      <c r="H349" s="12" t="s">
        <v>1494</v>
      </c>
      <c r="I349" s="15" t="s">
        <v>1495</v>
      </c>
    </row>
    <row r="350" customFormat="false" ht="23.85" hidden="false" customHeight="false" outlineLevel="0" collapsed="false">
      <c r="A350" s="12" t="s">
        <v>1573</v>
      </c>
      <c r="B350" s="13" t="s">
        <v>1513</v>
      </c>
      <c r="C350" s="13"/>
      <c r="D350" s="13"/>
      <c r="E350" s="13" t="s">
        <v>1186</v>
      </c>
      <c r="F350" s="12" t="s">
        <v>83</v>
      </c>
      <c r="G350" s="12" t="s">
        <v>170</v>
      </c>
      <c r="H350" s="12" t="s">
        <v>1494</v>
      </c>
      <c r="I350" s="15" t="s">
        <v>1495</v>
      </c>
    </row>
    <row r="351" customFormat="false" ht="23.85" hidden="false" customHeight="false" outlineLevel="0" collapsed="false">
      <c r="A351" s="12" t="s">
        <v>1573</v>
      </c>
      <c r="B351" s="13" t="s">
        <v>255</v>
      </c>
      <c r="C351" s="13" t="s">
        <v>1186</v>
      </c>
      <c r="D351" s="13"/>
      <c r="E351" s="13"/>
      <c r="F351" s="12" t="s">
        <v>81</v>
      </c>
      <c r="G351" s="12" t="s">
        <v>170</v>
      </c>
      <c r="H351" s="12" t="s">
        <v>1494</v>
      </c>
      <c r="I351" s="15" t="s">
        <v>1495</v>
      </c>
    </row>
    <row r="352" customFormat="false" ht="23.85" hidden="false" customHeight="false" outlineLevel="0" collapsed="false">
      <c r="A352" s="12" t="s">
        <v>1573</v>
      </c>
      <c r="B352" s="13" t="s">
        <v>1498</v>
      </c>
      <c r="C352" s="13"/>
      <c r="D352" s="13" t="s">
        <v>1186</v>
      </c>
      <c r="E352" s="13"/>
      <c r="F352" s="12" t="s">
        <v>82</v>
      </c>
      <c r="G352" s="12" t="s">
        <v>170</v>
      </c>
      <c r="H352" s="12" t="s">
        <v>1494</v>
      </c>
      <c r="I352" s="15" t="s">
        <v>1495</v>
      </c>
    </row>
    <row r="353" customFormat="false" ht="23.85" hidden="false" customHeight="false" outlineLevel="0" collapsed="false">
      <c r="A353" s="12" t="s">
        <v>1573</v>
      </c>
      <c r="B353" s="13" t="s">
        <v>1516</v>
      </c>
      <c r="C353" s="13"/>
      <c r="D353" s="13" t="s">
        <v>1186</v>
      </c>
      <c r="E353" s="13"/>
      <c r="F353" s="12" t="s">
        <v>82</v>
      </c>
      <c r="G353" s="12" t="s">
        <v>170</v>
      </c>
      <c r="H353" s="12" t="s">
        <v>1494</v>
      </c>
      <c r="I353" s="15" t="s">
        <v>1495</v>
      </c>
    </row>
    <row r="354" customFormat="false" ht="23.85" hidden="false" customHeight="false" outlineLevel="0" collapsed="false">
      <c r="A354" s="12" t="s">
        <v>1573</v>
      </c>
      <c r="B354" s="13" t="s">
        <v>1519</v>
      </c>
      <c r="C354" s="13"/>
      <c r="D354" s="13" t="s">
        <v>1186</v>
      </c>
      <c r="E354" s="13"/>
      <c r="F354" s="12" t="s">
        <v>82</v>
      </c>
      <c r="G354" s="12" t="s">
        <v>170</v>
      </c>
      <c r="H354" s="12" t="s">
        <v>1494</v>
      </c>
      <c r="I354" s="15" t="s">
        <v>1495</v>
      </c>
    </row>
    <row r="355" customFormat="false" ht="23.85" hidden="false" customHeight="false" outlineLevel="0" collapsed="false">
      <c r="A355" s="12" t="s">
        <v>1573</v>
      </c>
      <c r="B355" s="13" t="s">
        <v>367</v>
      </c>
      <c r="C355" s="13" t="s">
        <v>1186</v>
      </c>
      <c r="D355" s="13"/>
      <c r="E355" s="13"/>
      <c r="F355" s="12" t="s">
        <v>81</v>
      </c>
      <c r="G355" s="12" t="s">
        <v>170</v>
      </c>
      <c r="H355" s="12" t="s">
        <v>1494</v>
      </c>
      <c r="I355" s="15" t="s">
        <v>1495</v>
      </c>
    </row>
    <row r="356" customFormat="false" ht="23.85" hidden="false" customHeight="false" outlineLevel="0" collapsed="false">
      <c r="A356" s="12" t="s">
        <v>1573</v>
      </c>
      <c r="B356" s="13" t="s">
        <v>377</v>
      </c>
      <c r="C356" s="13" t="s">
        <v>1186</v>
      </c>
      <c r="D356" s="13"/>
      <c r="E356" s="13"/>
      <c r="F356" s="12" t="s">
        <v>81</v>
      </c>
      <c r="G356" s="12" t="s">
        <v>170</v>
      </c>
      <c r="H356" s="12" t="s">
        <v>1494</v>
      </c>
      <c r="I356" s="15" t="s">
        <v>1495</v>
      </c>
    </row>
    <row r="357" customFormat="false" ht="23.85" hidden="false" customHeight="false" outlineLevel="0" collapsed="false">
      <c r="A357" s="12" t="s">
        <v>1573</v>
      </c>
      <c r="B357" s="13" t="s">
        <v>1523</v>
      </c>
      <c r="C357" s="13"/>
      <c r="D357" s="13"/>
      <c r="E357" s="13" t="s">
        <v>1186</v>
      </c>
      <c r="F357" s="12" t="s">
        <v>83</v>
      </c>
      <c r="G357" s="12" t="s">
        <v>170</v>
      </c>
      <c r="H357" s="12" t="s">
        <v>1494</v>
      </c>
      <c r="I357" s="15" t="s">
        <v>1495</v>
      </c>
    </row>
    <row r="358" customFormat="false" ht="23.85" hidden="false" customHeight="false" outlineLevel="0" collapsed="false">
      <c r="A358" s="12" t="s">
        <v>1573</v>
      </c>
      <c r="B358" s="13" t="s">
        <v>305</v>
      </c>
      <c r="C358" s="13"/>
      <c r="D358" s="13"/>
      <c r="E358" s="13" t="s">
        <v>1186</v>
      </c>
      <c r="F358" s="12" t="s">
        <v>83</v>
      </c>
      <c r="G358" s="12" t="s">
        <v>170</v>
      </c>
      <c r="H358" s="12" t="s">
        <v>1494</v>
      </c>
      <c r="I358" s="15" t="s">
        <v>1495</v>
      </c>
    </row>
    <row r="359" customFormat="false" ht="23.85" hidden="false" customHeight="false" outlineLevel="0" collapsed="false">
      <c r="A359" s="12" t="s">
        <v>1573</v>
      </c>
      <c r="B359" s="13" t="s">
        <v>1529</v>
      </c>
      <c r="C359" s="13"/>
      <c r="D359" s="13"/>
      <c r="E359" s="13" t="s">
        <v>1186</v>
      </c>
      <c r="F359" s="12" t="s">
        <v>83</v>
      </c>
      <c r="G359" s="12" t="s">
        <v>170</v>
      </c>
      <c r="H359" s="12" t="s">
        <v>1494</v>
      </c>
      <c r="I359" s="15" t="s">
        <v>1495</v>
      </c>
    </row>
    <row r="360" customFormat="false" ht="23.85" hidden="false" customHeight="false" outlineLevel="0" collapsed="false">
      <c r="A360" s="12" t="s">
        <v>1573</v>
      </c>
      <c r="B360" s="13" t="s">
        <v>1545</v>
      </c>
      <c r="C360" s="13"/>
      <c r="D360" s="13" t="s">
        <v>1186</v>
      </c>
      <c r="E360" s="13"/>
      <c r="F360" s="12" t="s">
        <v>82</v>
      </c>
      <c r="G360" s="12" t="s">
        <v>170</v>
      </c>
      <c r="H360" s="12" t="s">
        <v>1494</v>
      </c>
      <c r="I360" s="15" t="s">
        <v>1495</v>
      </c>
    </row>
    <row r="361" customFormat="false" ht="23.85" hidden="false" customHeight="false" outlineLevel="0" collapsed="false">
      <c r="A361" s="12" t="s">
        <v>1574</v>
      </c>
      <c r="B361" s="13" t="s">
        <v>442</v>
      </c>
      <c r="C361" s="13"/>
      <c r="D361" s="13"/>
      <c r="E361" s="13" t="s">
        <v>1186</v>
      </c>
      <c r="F361" s="12" t="s">
        <v>83</v>
      </c>
      <c r="G361" s="12" t="s">
        <v>170</v>
      </c>
      <c r="H361" s="12" t="s">
        <v>1494</v>
      </c>
      <c r="I361" s="15" t="s">
        <v>1495</v>
      </c>
    </row>
    <row r="362" customFormat="false" ht="23.85" hidden="false" customHeight="false" outlineLevel="0" collapsed="false">
      <c r="A362" s="12" t="s">
        <v>1575</v>
      </c>
      <c r="B362" s="13" t="s">
        <v>442</v>
      </c>
      <c r="C362" s="13"/>
      <c r="D362" s="13" t="s">
        <v>1186</v>
      </c>
      <c r="E362" s="13"/>
      <c r="F362" s="12" t="s">
        <v>82</v>
      </c>
      <c r="G362" s="12" t="s">
        <v>170</v>
      </c>
      <c r="H362" s="12" t="s">
        <v>1494</v>
      </c>
      <c r="I362" s="15" t="s">
        <v>1495</v>
      </c>
    </row>
    <row r="363" customFormat="false" ht="23.85" hidden="false" customHeight="false" outlineLevel="0" collapsed="false">
      <c r="A363" s="12" t="s">
        <v>1576</v>
      </c>
      <c r="B363" s="13" t="s">
        <v>256</v>
      </c>
      <c r="C363" s="13"/>
      <c r="D363" s="13" t="s">
        <v>1186</v>
      </c>
      <c r="E363" s="13" t="s">
        <v>1186</v>
      </c>
      <c r="F363" s="12" t="s">
        <v>1542</v>
      </c>
      <c r="G363" s="12" t="s">
        <v>170</v>
      </c>
      <c r="H363" s="12" t="s">
        <v>1494</v>
      </c>
      <c r="I363" s="15" t="s">
        <v>1495</v>
      </c>
    </row>
    <row r="364" customFormat="false" ht="23.85" hidden="false" customHeight="false" outlineLevel="0" collapsed="false">
      <c r="A364" s="12" t="s">
        <v>1576</v>
      </c>
      <c r="B364" s="13" t="s">
        <v>442</v>
      </c>
      <c r="C364" s="13"/>
      <c r="D364" s="13"/>
      <c r="E364" s="13" t="s">
        <v>1186</v>
      </c>
      <c r="F364" s="12" t="s">
        <v>83</v>
      </c>
      <c r="G364" s="12" t="s">
        <v>170</v>
      </c>
      <c r="H364" s="12" t="s">
        <v>1494</v>
      </c>
      <c r="I364" s="15" t="s">
        <v>1495</v>
      </c>
    </row>
    <row r="365" customFormat="false" ht="23.85" hidden="false" customHeight="false" outlineLevel="0" collapsed="false">
      <c r="A365" s="12" t="s">
        <v>1576</v>
      </c>
      <c r="B365" s="13" t="s">
        <v>255</v>
      </c>
      <c r="C365" s="13" t="s">
        <v>1186</v>
      </c>
      <c r="D365" s="13"/>
      <c r="E365" s="13"/>
      <c r="F365" s="12" t="s">
        <v>81</v>
      </c>
      <c r="G365" s="12" t="s">
        <v>170</v>
      </c>
      <c r="H365" s="12" t="s">
        <v>1494</v>
      </c>
      <c r="I365" s="15" t="s">
        <v>1495</v>
      </c>
    </row>
    <row r="366" customFormat="false" ht="23.85" hidden="false" customHeight="false" outlineLevel="0" collapsed="false">
      <c r="A366" s="12" t="s">
        <v>1577</v>
      </c>
      <c r="B366" s="13" t="s">
        <v>305</v>
      </c>
      <c r="C366" s="13"/>
      <c r="D366" s="13"/>
      <c r="E366" s="13" t="s">
        <v>1186</v>
      </c>
      <c r="F366" s="12" t="s">
        <v>83</v>
      </c>
      <c r="G366" s="12" t="s">
        <v>170</v>
      </c>
      <c r="H366" s="12" t="s">
        <v>1494</v>
      </c>
      <c r="I366" s="15" t="s">
        <v>1495</v>
      </c>
    </row>
    <row r="367" customFormat="false" ht="23.85" hidden="false" customHeight="false" outlineLevel="0" collapsed="false">
      <c r="A367" s="12" t="s">
        <v>1578</v>
      </c>
      <c r="B367" s="13" t="s">
        <v>1523</v>
      </c>
      <c r="C367" s="13" t="s">
        <v>1186</v>
      </c>
      <c r="D367" s="13"/>
      <c r="E367" s="13"/>
      <c r="F367" s="12" t="s">
        <v>81</v>
      </c>
      <c r="G367" s="12" t="s">
        <v>170</v>
      </c>
      <c r="H367" s="12" t="s">
        <v>1494</v>
      </c>
      <c r="I367" s="15" t="s">
        <v>1495</v>
      </c>
    </row>
    <row r="368" customFormat="false" ht="23.85" hidden="false" customHeight="false" outlineLevel="0" collapsed="false">
      <c r="A368" s="12" t="s">
        <v>1579</v>
      </c>
      <c r="B368" s="13" t="s">
        <v>305</v>
      </c>
      <c r="C368" s="13"/>
      <c r="D368" s="13"/>
      <c r="E368" s="13" t="s">
        <v>1186</v>
      </c>
      <c r="F368" s="12" t="s">
        <v>83</v>
      </c>
      <c r="G368" s="12" t="s">
        <v>170</v>
      </c>
      <c r="H368" s="12" t="s">
        <v>1494</v>
      </c>
      <c r="I368" s="15" t="s">
        <v>1495</v>
      </c>
    </row>
    <row r="369" customFormat="false" ht="23.85" hidden="false" customHeight="false" outlineLevel="0" collapsed="false">
      <c r="A369" s="12" t="s">
        <v>1580</v>
      </c>
      <c r="B369" s="13" t="s">
        <v>377</v>
      </c>
      <c r="C369" s="13" t="s">
        <v>1186</v>
      </c>
      <c r="D369" s="13"/>
      <c r="E369" s="13"/>
      <c r="F369" s="12" t="s">
        <v>81</v>
      </c>
      <c r="G369" s="12" t="s">
        <v>170</v>
      </c>
      <c r="H369" s="12" t="s">
        <v>1494</v>
      </c>
      <c r="I369" s="15" t="s">
        <v>1495</v>
      </c>
    </row>
    <row r="370" customFormat="false" ht="23.85" hidden="false" customHeight="false" outlineLevel="0" collapsed="false">
      <c r="A370" s="12" t="s">
        <v>1330</v>
      </c>
      <c r="B370" s="13" t="s">
        <v>249</v>
      </c>
      <c r="C370" s="13" t="s">
        <v>1186</v>
      </c>
      <c r="D370" s="13" t="s">
        <v>1186</v>
      </c>
      <c r="E370" s="13"/>
      <c r="F370" s="12" t="s">
        <v>1518</v>
      </c>
      <c r="G370" s="12" t="s">
        <v>170</v>
      </c>
      <c r="H370" s="12" t="s">
        <v>1494</v>
      </c>
      <c r="I370" s="15" t="s">
        <v>1495</v>
      </c>
    </row>
    <row r="371" customFormat="false" ht="23.85" hidden="false" customHeight="false" outlineLevel="0" collapsed="false">
      <c r="A371" s="12" t="s">
        <v>1330</v>
      </c>
      <c r="B371" s="13" t="s">
        <v>256</v>
      </c>
      <c r="C371" s="13" t="s">
        <v>1186</v>
      </c>
      <c r="D371" s="13"/>
      <c r="E371" s="13"/>
      <c r="F371" s="12" t="s">
        <v>81</v>
      </c>
      <c r="G371" s="12" t="s">
        <v>170</v>
      </c>
      <c r="H371" s="12" t="s">
        <v>1494</v>
      </c>
      <c r="I371" s="15" t="s">
        <v>1495</v>
      </c>
    </row>
    <row r="372" customFormat="false" ht="23.85" hidden="false" customHeight="false" outlineLevel="0" collapsed="false">
      <c r="A372" s="12" t="s">
        <v>1330</v>
      </c>
      <c r="B372" s="13" t="s">
        <v>1501</v>
      </c>
      <c r="C372" s="13" t="s">
        <v>1186</v>
      </c>
      <c r="D372" s="13"/>
      <c r="E372" s="13"/>
      <c r="F372" s="12" t="s">
        <v>81</v>
      </c>
      <c r="G372" s="12" t="s">
        <v>170</v>
      </c>
      <c r="H372" s="12" t="s">
        <v>1494</v>
      </c>
      <c r="I372" s="15" t="s">
        <v>1495</v>
      </c>
    </row>
    <row r="373" customFormat="false" ht="23.85" hidden="false" customHeight="false" outlineLevel="0" collapsed="false">
      <c r="A373" s="12" t="s">
        <v>1330</v>
      </c>
      <c r="B373" s="13" t="s">
        <v>1512</v>
      </c>
      <c r="C373" s="13" t="s">
        <v>1186</v>
      </c>
      <c r="D373" s="13"/>
      <c r="E373" s="13"/>
      <c r="F373" s="12" t="s">
        <v>81</v>
      </c>
      <c r="G373" s="12" t="s">
        <v>170</v>
      </c>
      <c r="H373" s="12" t="s">
        <v>1494</v>
      </c>
      <c r="I373" s="15" t="s">
        <v>1495</v>
      </c>
    </row>
    <row r="374" customFormat="false" ht="23.85" hidden="false" customHeight="false" outlineLevel="0" collapsed="false">
      <c r="A374" s="12" t="s">
        <v>1330</v>
      </c>
      <c r="B374" s="13" t="s">
        <v>445</v>
      </c>
      <c r="C374" s="13" t="s">
        <v>1186</v>
      </c>
      <c r="D374" s="13" t="s">
        <v>1186</v>
      </c>
      <c r="E374" s="13"/>
      <c r="F374" s="12" t="s">
        <v>1518</v>
      </c>
      <c r="G374" s="12" t="s">
        <v>170</v>
      </c>
      <c r="H374" s="12" t="s">
        <v>1494</v>
      </c>
      <c r="I374" s="15" t="s">
        <v>1495</v>
      </c>
    </row>
    <row r="375" customFormat="false" ht="23.85" hidden="false" customHeight="false" outlineLevel="0" collapsed="false">
      <c r="A375" s="12" t="s">
        <v>1330</v>
      </c>
      <c r="B375" s="13" t="s">
        <v>255</v>
      </c>
      <c r="C375" s="13" t="s">
        <v>1186</v>
      </c>
      <c r="D375" s="13"/>
      <c r="E375" s="13"/>
      <c r="F375" s="12" t="s">
        <v>81</v>
      </c>
      <c r="G375" s="12" t="s">
        <v>170</v>
      </c>
      <c r="H375" s="12" t="s">
        <v>1494</v>
      </c>
      <c r="I375" s="15" t="s">
        <v>1495</v>
      </c>
    </row>
    <row r="376" customFormat="false" ht="23.85" hidden="false" customHeight="false" outlineLevel="0" collapsed="false">
      <c r="A376" s="12" t="s">
        <v>1330</v>
      </c>
      <c r="B376" s="13" t="s">
        <v>1498</v>
      </c>
      <c r="C376" s="13" t="s">
        <v>1186</v>
      </c>
      <c r="D376" s="13"/>
      <c r="E376" s="13"/>
      <c r="F376" s="12" t="s">
        <v>81</v>
      </c>
      <c r="G376" s="12" t="s">
        <v>170</v>
      </c>
      <c r="H376" s="12" t="s">
        <v>1494</v>
      </c>
      <c r="I376" s="15" t="s">
        <v>1495</v>
      </c>
    </row>
    <row r="377" customFormat="false" ht="23.85" hidden="false" customHeight="false" outlineLevel="0" collapsed="false">
      <c r="A377" s="12" t="s">
        <v>1330</v>
      </c>
      <c r="B377" s="13" t="s">
        <v>367</v>
      </c>
      <c r="C377" s="13" t="s">
        <v>1186</v>
      </c>
      <c r="D377" s="13"/>
      <c r="E377" s="13"/>
      <c r="F377" s="12" t="s">
        <v>81</v>
      </c>
      <c r="G377" s="12" t="s">
        <v>170</v>
      </c>
      <c r="H377" s="12" t="s">
        <v>1494</v>
      </c>
      <c r="I377" s="15" t="s">
        <v>1495</v>
      </c>
    </row>
    <row r="378" customFormat="false" ht="23.85" hidden="false" customHeight="false" outlineLevel="0" collapsed="false">
      <c r="A378" s="12" t="s">
        <v>1330</v>
      </c>
      <c r="B378" s="13" t="s">
        <v>377</v>
      </c>
      <c r="C378" s="13" t="s">
        <v>1186</v>
      </c>
      <c r="D378" s="13"/>
      <c r="E378" s="13"/>
      <c r="F378" s="12" t="s">
        <v>81</v>
      </c>
      <c r="G378" s="12" t="s">
        <v>170</v>
      </c>
      <c r="H378" s="12" t="s">
        <v>1494</v>
      </c>
      <c r="I378" s="15" t="s">
        <v>1495</v>
      </c>
    </row>
    <row r="379" customFormat="false" ht="23.85" hidden="false" customHeight="false" outlineLevel="0" collapsed="false">
      <c r="A379" s="12" t="s">
        <v>1330</v>
      </c>
      <c r="B379" s="13" t="s">
        <v>305</v>
      </c>
      <c r="C379" s="13" t="s">
        <v>1186</v>
      </c>
      <c r="D379" s="13"/>
      <c r="E379" s="13"/>
      <c r="F379" s="12" t="s">
        <v>81</v>
      </c>
      <c r="G379" s="12" t="s">
        <v>170</v>
      </c>
      <c r="H379" s="12" t="s">
        <v>1494</v>
      </c>
      <c r="I379" s="15" t="s">
        <v>1495</v>
      </c>
    </row>
    <row r="380" customFormat="false" ht="23.85" hidden="false" customHeight="false" outlineLevel="0" collapsed="false">
      <c r="A380" s="12" t="s">
        <v>1330</v>
      </c>
      <c r="B380" s="13" t="s">
        <v>1529</v>
      </c>
      <c r="C380" s="13" t="s">
        <v>1186</v>
      </c>
      <c r="D380" s="13"/>
      <c r="E380" s="13"/>
      <c r="F380" s="12" t="s">
        <v>81</v>
      </c>
      <c r="G380" s="12" t="s">
        <v>170</v>
      </c>
      <c r="H380" s="12" t="s">
        <v>1494</v>
      </c>
      <c r="I380" s="15" t="s">
        <v>1495</v>
      </c>
    </row>
    <row r="381" customFormat="false" ht="23.85" hidden="false" customHeight="false" outlineLevel="0" collapsed="false">
      <c r="A381" s="12" t="s">
        <v>1581</v>
      </c>
      <c r="B381" s="13" t="s">
        <v>377</v>
      </c>
      <c r="C381" s="13" t="s">
        <v>1186</v>
      </c>
      <c r="D381" s="13"/>
      <c r="E381" s="13"/>
      <c r="F381" s="12" t="s">
        <v>81</v>
      </c>
      <c r="G381" s="12" t="s">
        <v>170</v>
      </c>
      <c r="H381" s="12" t="s">
        <v>1494</v>
      </c>
      <c r="I381" s="15" t="s">
        <v>1495</v>
      </c>
    </row>
    <row r="382" customFormat="false" ht="23.85" hidden="false" customHeight="false" outlineLevel="0" collapsed="false">
      <c r="A382" s="12" t="s">
        <v>1582</v>
      </c>
      <c r="B382" s="13" t="s">
        <v>1523</v>
      </c>
      <c r="C382" s="13"/>
      <c r="D382" s="13" t="s">
        <v>1186</v>
      </c>
      <c r="E382" s="13"/>
      <c r="F382" s="12" t="s">
        <v>82</v>
      </c>
      <c r="G382" s="12" t="s">
        <v>170</v>
      </c>
      <c r="H382" s="12" t="s">
        <v>1494</v>
      </c>
      <c r="I382" s="15" t="s">
        <v>1495</v>
      </c>
    </row>
    <row r="383" customFormat="false" ht="23.85" hidden="false" customHeight="false" outlineLevel="0" collapsed="false">
      <c r="A383" s="12" t="s">
        <v>1583</v>
      </c>
      <c r="B383" s="13" t="s">
        <v>1511</v>
      </c>
      <c r="C383" s="13"/>
      <c r="D383" s="13"/>
      <c r="E383" s="13" t="s">
        <v>1186</v>
      </c>
      <c r="F383" s="12" t="s">
        <v>83</v>
      </c>
      <c r="G383" s="12" t="s">
        <v>170</v>
      </c>
      <c r="H383" s="12" t="s">
        <v>1494</v>
      </c>
      <c r="I383" s="15" t="s">
        <v>1495</v>
      </c>
    </row>
    <row r="384" customFormat="false" ht="23.85" hidden="false" customHeight="false" outlineLevel="0" collapsed="false">
      <c r="A384" s="12" t="s">
        <v>1583</v>
      </c>
      <c r="B384" s="13" t="s">
        <v>256</v>
      </c>
      <c r="C384" s="13"/>
      <c r="D384" s="13"/>
      <c r="E384" s="13" t="s">
        <v>1186</v>
      </c>
      <c r="F384" s="12" t="s">
        <v>83</v>
      </c>
      <c r="G384" s="12" t="s">
        <v>170</v>
      </c>
      <c r="H384" s="12" t="s">
        <v>1494</v>
      </c>
      <c r="I384" s="15" t="s">
        <v>1495</v>
      </c>
    </row>
    <row r="385" customFormat="false" ht="23.85" hidden="false" customHeight="false" outlineLevel="0" collapsed="false">
      <c r="A385" s="12" t="s">
        <v>1583</v>
      </c>
      <c r="B385" s="13" t="s">
        <v>1501</v>
      </c>
      <c r="C385" s="13"/>
      <c r="D385" s="13"/>
      <c r="E385" s="13" t="s">
        <v>1186</v>
      </c>
      <c r="F385" s="12" t="s">
        <v>83</v>
      </c>
      <c r="G385" s="12" t="s">
        <v>170</v>
      </c>
      <c r="H385" s="12" t="s">
        <v>1494</v>
      </c>
      <c r="I385" s="15" t="s">
        <v>1495</v>
      </c>
    </row>
    <row r="386" customFormat="false" ht="23.85" hidden="false" customHeight="false" outlineLevel="0" collapsed="false">
      <c r="A386" s="12" t="s">
        <v>1583</v>
      </c>
      <c r="B386" s="13" t="s">
        <v>1512</v>
      </c>
      <c r="C386" s="13"/>
      <c r="D386" s="13"/>
      <c r="E386" s="13" t="s">
        <v>1186</v>
      </c>
      <c r="F386" s="12" t="s">
        <v>83</v>
      </c>
      <c r="G386" s="12" t="s">
        <v>170</v>
      </c>
      <c r="H386" s="12" t="s">
        <v>1494</v>
      </c>
      <c r="I386" s="15" t="s">
        <v>1495</v>
      </c>
    </row>
    <row r="387" customFormat="false" ht="23.85" hidden="false" customHeight="false" outlineLevel="0" collapsed="false">
      <c r="A387" s="12" t="s">
        <v>1583</v>
      </c>
      <c r="B387" s="13" t="s">
        <v>1513</v>
      </c>
      <c r="C387" s="13"/>
      <c r="D387" s="13"/>
      <c r="E387" s="13" t="s">
        <v>1186</v>
      </c>
      <c r="F387" s="12" t="s">
        <v>83</v>
      </c>
      <c r="G387" s="12" t="s">
        <v>170</v>
      </c>
      <c r="H387" s="12" t="s">
        <v>1494</v>
      </c>
      <c r="I387" s="15" t="s">
        <v>1495</v>
      </c>
    </row>
    <row r="388" customFormat="false" ht="23.85" hidden="false" customHeight="false" outlineLevel="0" collapsed="false">
      <c r="A388" s="12" t="s">
        <v>1583</v>
      </c>
      <c r="B388" s="13" t="s">
        <v>255</v>
      </c>
      <c r="C388" s="13"/>
      <c r="D388" s="13"/>
      <c r="E388" s="13" t="s">
        <v>1186</v>
      </c>
      <c r="F388" s="12" t="s">
        <v>83</v>
      </c>
      <c r="G388" s="12" t="s">
        <v>170</v>
      </c>
      <c r="H388" s="12" t="s">
        <v>1494</v>
      </c>
      <c r="I388" s="15" t="s">
        <v>1495</v>
      </c>
    </row>
    <row r="389" customFormat="false" ht="23.85" hidden="false" customHeight="false" outlineLevel="0" collapsed="false">
      <c r="A389" s="12" t="s">
        <v>1583</v>
      </c>
      <c r="B389" s="13" t="s">
        <v>490</v>
      </c>
      <c r="C389" s="13"/>
      <c r="D389" s="13"/>
      <c r="E389" s="13" t="s">
        <v>1186</v>
      </c>
      <c r="F389" s="12" t="s">
        <v>83</v>
      </c>
      <c r="G389" s="12" t="s">
        <v>170</v>
      </c>
      <c r="H389" s="12" t="s">
        <v>1494</v>
      </c>
      <c r="I389" s="15" t="s">
        <v>1495</v>
      </c>
    </row>
    <row r="390" customFormat="false" ht="23.85" hidden="false" customHeight="false" outlineLevel="0" collapsed="false">
      <c r="A390" s="12" t="s">
        <v>1583</v>
      </c>
      <c r="B390" s="13" t="s">
        <v>1521</v>
      </c>
      <c r="C390" s="13"/>
      <c r="D390" s="13" t="s">
        <v>1186</v>
      </c>
      <c r="E390" s="13" t="s">
        <v>1186</v>
      </c>
      <c r="F390" s="12" t="s">
        <v>1542</v>
      </c>
      <c r="G390" s="12" t="s">
        <v>170</v>
      </c>
      <c r="H390" s="12" t="s">
        <v>1494</v>
      </c>
      <c r="I390" s="15" t="s">
        <v>1495</v>
      </c>
    </row>
    <row r="391" customFormat="false" ht="23.85" hidden="false" customHeight="false" outlineLevel="0" collapsed="false">
      <c r="A391" s="12" t="s">
        <v>1583</v>
      </c>
      <c r="B391" s="13" t="s">
        <v>1525</v>
      </c>
      <c r="C391" s="13"/>
      <c r="D391" s="13"/>
      <c r="E391" s="13" t="s">
        <v>1186</v>
      </c>
      <c r="F391" s="12" t="s">
        <v>83</v>
      </c>
      <c r="G391" s="12" t="s">
        <v>170</v>
      </c>
      <c r="H391" s="12" t="s">
        <v>1494</v>
      </c>
      <c r="I391" s="15" t="s">
        <v>1495</v>
      </c>
    </row>
    <row r="392" customFormat="false" ht="23.85" hidden="false" customHeight="false" outlineLevel="0" collapsed="false">
      <c r="A392" s="12" t="s">
        <v>1583</v>
      </c>
      <c r="B392" s="13" t="s">
        <v>381</v>
      </c>
      <c r="C392" s="13"/>
      <c r="D392" s="13"/>
      <c r="E392" s="13" t="s">
        <v>1186</v>
      </c>
      <c r="F392" s="12" t="s">
        <v>83</v>
      </c>
      <c r="G392" s="12" t="s">
        <v>170</v>
      </c>
      <c r="H392" s="12" t="s">
        <v>1494</v>
      </c>
      <c r="I392" s="15" t="s">
        <v>1495</v>
      </c>
    </row>
    <row r="393" customFormat="false" ht="23.85" hidden="false" customHeight="false" outlineLevel="0" collapsed="false">
      <c r="A393" s="12" t="s">
        <v>1583</v>
      </c>
      <c r="B393" s="13" t="s">
        <v>1529</v>
      </c>
      <c r="C393" s="13"/>
      <c r="D393" s="13"/>
      <c r="E393" s="13" t="s">
        <v>1186</v>
      </c>
      <c r="F393" s="12" t="s">
        <v>83</v>
      </c>
      <c r="G393" s="12" t="s">
        <v>170</v>
      </c>
      <c r="H393" s="12" t="s">
        <v>1494</v>
      </c>
      <c r="I393" s="15" t="s">
        <v>1495</v>
      </c>
    </row>
    <row r="394" customFormat="false" ht="23.85" hidden="false" customHeight="false" outlineLevel="0" collapsed="false">
      <c r="A394" s="12" t="s">
        <v>1584</v>
      </c>
      <c r="B394" s="13" t="s">
        <v>381</v>
      </c>
      <c r="C394" s="13"/>
      <c r="D394" s="13"/>
      <c r="E394" s="13" t="s">
        <v>1186</v>
      </c>
      <c r="F394" s="12" t="s">
        <v>83</v>
      </c>
      <c r="G394" s="12" t="s">
        <v>170</v>
      </c>
      <c r="H394" s="12" t="s">
        <v>1494</v>
      </c>
      <c r="I394" s="15" t="s">
        <v>1495</v>
      </c>
    </row>
    <row r="395" customFormat="false" ht="23.85" hidden="false" customHeight="false" outlineLevel="0" collapsed="false">
      <c r="A395" s="12" t="s">
        <v>1585</v>
      </c>
      <c r="B395" s="13" t="s">
        <v>249</v>
      </c>
      <c r="C395" s="13"/>
      <c r="D395" s="13" t="s">
        <v>1186</v>
      </c>
      <c r="E395" s="13"/>
      <c r="F395" s="12" t="s">
        <v>82</v>
      </c>
      <c r="G395" s="12" t="s">
        <v>170</v>
      </c>
      <c r="H395" s="12" t="s">
        <v>1494</v>
      </c>
      <c r="I395" s="15" t="s">
        <v>1495</v>
      </c>
    </row>
    <row r="396" customFormat="false" ht="23.85" hidden="false" customHeight="false" outlineLevel="0" collapsed="false">
      <c r="A396" s="12" t="s">
        <v>1585</v>
      </c>
      <c r="B396" s="13" t="s">
        <v>1501</v>
      </c>
      <c r="C396" s="13"/>
      <c r="D396" s="13" t="s">
        <v>1186</v>
      </c>
      <c r="E396" s="13"/>
      <c r="F396" s="12" t="s">
        <v>82</v>
      </c>
      <c r="G396" s="12" t="s">
        <v>170</v>
      </c>
      <c r="H396" s="12" t="s">
        <v>1494</v>
      </c>
      <c r="I396" s="15" t="s">
        <v>1495</v>
      </c>
    </row>
    <row r="397" customFormat="false" ht="23.85" hidden="false" customHeight="false" outlineLevel="0" collapsed="false">
      <c r="A397" s="12" t="s">
        <v>1585</v>
      </c>
      <c r="B397" s="13" t="s">
        <v>300</v>
      </c>
      <c r="C397" s="13"/>
      <c r="D397" s="13" t="s">
        <v>1186</v>
      </c>
      <c r="E397" s="13"/>
      <c r="F397" s="12" t="s">
        <v>82</v>
      </c>
      <c r="G397" s="12" t="s">
        <v>170</v>
      </c>
      <c r="H397" s="12" t="s">
        <v>1494</v>
      </c>
      <c r="I397" s="15" t="s">
        <v>1495</v>
      </c>
    </row>
    <row r="398" customFormat="false" ht="23.85" hidden="false" customHeight="false" outlineLevel="0" collapsed="false">
      <c r="A398" s="12" t="s">
        <v>1585</v>
      </c>
      <c r="B398" s="13" t="s">
        <v>305</v>
      </c>
      <c r="C398" s="13" t="s">
        <v>1186</v>
      </c>
      <c r="D398" s="13" t="s">
        <v>1186</v>
      </c>
      <c r="E398" s="13"/>
      <c r="F398" s="12" t="s">
        <v>1518</v>
      </c>
      <c r="G398" s="12" t="s">
        <v>170</v>
      </c>
      <c r="H398" s="12" t="s">
        <v>1494</v>
      </c>
      <c r="I398" s="15" t="s">
        <v>1495</v>
      </c>
    </row>
    <row r="399" customFormat="false" ht="23.85" hidden="false" customHeight="false" outlineLevel="0" collapsed="false">
      <c r="A399" s="12" t="s">
        <v>1585</v>
      </c>
      <c r="B399" s="13" t="s">
        <v>381</v>
      </c>
      <c r="C399" s="13"/>
      <c r="D399" s="13" t="s">
        <v>1186</v>
      </c>
      <c r="E399" s="13"/>
      <c r="F399" s="12" t="s">
        <v>82</v>
      </c>
      <c r="G399" s="12" t="s">
        <v>170</v>
      </c>
      <c r="H399" s="12" t="s">
        <v>1494</v>
      </c>
      <c r="I399" s="15" t="s">
        <v>1495</v>
      </c>
    </row>
    <row r="400" customFormat="false" ht="23.85" hidden="false" customHeight="false" outlineLevel="0" collapsed="false">
      <c r="A400" s="12" t="s">
        <v>1586</v>
      </c>
      <c r="B400" s="13" t="s">
        <v>256</v>
      </c>
      <c r="C400" s="13"/>
      <c r="D400" s="13" t="s">
        <v>1186</v>
      </c>
      <c r="E400" s="13"/>
      <c r="F400" s="12" t="s">
        <v>82</v>
      </c>
      <c r="G400" s="12" t="s">
        <v>170</v>
      </c>
      <c r="H400" s="12" t="s">
        <v>1494</v>
      </c>
      <c r="I400" s="15" t="s">
        <v>1495</v>
      </c>
    </row>
    <row r="401" customFormat="false" ht="23.85" hidden="false" customHeight="false" outlineLevel="0" collapsed="false">
      <c r="A401" s="12" t="s">
        <v>1586</v>
      </c>
      <c r="B401" s="13" t="s">
        <v>1523</v>
      </c>
      <c r="C401" s="13"/>
      <c r="D401" s="13" t="s">
        <v>1186</v>
      </c>
      <c r="E401" s="13"/>
      <c r="F401" s="12" t="s">
        <v>82</v>
      </c>
      <c r="G401" s="12" t="s">
        <v>170</v>
      </c>
      <c r="H401" s="12" t="s">
        <v>1494</v>
      </c>
      <c r="I401" s="15" t="s">
        <v>1495</v>
      </c>
    </row>
    <row r="402" customFormat="false" ht="23.85" hidden="false" customHeight="false" outlineLevel="0" collapsed="false">
      <c r="A402" s="12" t="s">
        <v>1586</v>
      </c>
      <c r="B402" s="13" t="s">
        <v>316</v>
      </c>
      <c r="C402" s="13"/>
      <c r="D402" s="13" t="s">
        <v>1186</v>
      </c>
      <c r="E402" s="13"/>
      <c r="F402" s="12" t="s">
        <v>82</v>
      </c>
      <c r="G402" s="12" t="s">
        <v>170</v>
      </c>
      <c r="H402" s="12" t="s">
        <v>1494</v>
      </c>
      <c r="I402" s="15" t="s">
        <v>1495</v>
      </c>
    </row>
    <row r="403" customFormat="false" ht="23.85" hidden="false" customHeight="false" outlineLevel="0" collapsed="false">
      <c r="A403" s="12" t="s">
        <v>94</v>
      </c>
      <c r="B403" s="13" t="s">
        <v>1503</v>
      </c>
      <c r="C403" s="13"/>
      <c r="D403" s="13" t="s">
        <v>1186</v>
      </c>
      <c r="E403" s="13" t="s">
        <v>1186</v>
      </c>
      <c r="F403" s="12" t="s">
        <v>1587</v>
      </c>
      <c r="G403" s="12" t="s">
        <v>1588</v>
      </c>
      <c r="H403" s="12" t="s">
        <v>1589</v>
      </c>
      <c r="I403" s="15" t="s">
        <v>1590</v>
      </c>
    </row>
    <row r="404" customFormat="false" ht="23.85" hidden="false" customHeight="false" outlineLevel="0" collapsed="false">
      <c r="A404" s="12" t="s">
        <v>94</v>
      </c>
      <c r="B404" s="13" t="s">
        <v>1506</v>
      </c>
      <c r="C404" s="13" t="s">
        <v>1186</v>
      </c>
      <c r="D404" s="13" t="s">
        <v>1186</v>
      </c>
      <c r="E404" s="13"/>
      <c r="F404" s="12" t="s">
        <v>1591</v>
      </c>
      <c r="G404" s="12" t="s">
        <v>1588</v>
      </c>
      <c r="H404" s="12" t="s">
        <v>1589</v>
      </c>
      <c r="I404" s="15" t="s">
        <v>1590</v>
      </c>
    </row>
    <row r="405" customFormat="false" ht="23.85" hidden="false" customHeight="false" outlineLevel="0" collapsed="false">
      <c r="A405" s="12" t="s">
        <v>94</v>
      </c>
      <c r="B405" s="13" t="s">
        <v>1507</v>
      </c>
      <c r="C405" s="13" t="s">
        <v>1186</v>
      </c>
      <c r="D405" s="13" t="s">
        <v>1186</v>
      </c>
      <c r="E405" s="13"/>
      <c r="F405" s="12" t="s">
        <v>1591</v>
      </c>
      <c r="G405" s="12" t="s">
        <v>1588</v>
      </c>
      <c r="H405" s="12" t="s">
        <v>1589</v>
      </c>
      <c r="I405" s="15" t="s">
        <v>1590</v>
      </c>
    </row>
    <row r="406" customFormat="false" ht="23.85" hidden="false" customHeight="false" outlineLevel="0" collapsed="false">
      <c r="A406" s="12" t="s">
        <v>94</v>
      </c>
      <c r="B406" s="13" t="s">
        <v>249</v>
      </c>
      <c r="C406" s="13" t="s">
        <v>1186</v>
      </c>
      <c r="D406" s="13" t="s">
        <v>1186</v>
      </c>
      <c r="E406" s="13" t="s">
        <v>1186</v>
      </c>
      <c r="F406" s="12" t="s">
        <v>1591</v>
      </c>
      <c r="G406" s="12" t="s">
        <v>1588</v>
      </c>
      <c r="H406" s="12" t="s">
        <v>1589</v>
      </c>
      <c r="I406" s="15" t="s">
        <v>1590</v>
      </c>
    </row>
    <row r="407" customFormat="false" ht="23.85" hidden="false" customHeight="false" outlineLevel="0" collapsed="false">
      <c r="A407" s="12" t="s">
        <v>94</v>
      </c>
      <c r="B407" s="13" t="s">
        <v>1508</v>
      </c>
      <c r="C407" s="13" t="s">
        <v>1186</v>
      </c>
      <c r="D407" s="13"/>
      <c r="E407" s="13" t="s">
        <v>1186</v>
      </c>
      <c r="F407" s="12" t="s">
        <v>1591</v>
      </c>
      <c r="G407" s="12" t="s">
        <v>1588</v>
      </c>
      <c r="H407" s="12" t="s">
        <v>1589</v>
      </c>
      <c r="I407" s="15" t="s">
        <v>1590</v>
      </c>
    </row>
    <row r="408" customFormat="false" ht="23.85" hidden="false" customHeight="false" outlineLevel="0" collapsed="false">
      <c r="A408" s="12" t="s">
        <v>94</v>
      </c>
      <c r="B408" s="13" t="s">
        <v>1509</v>
      </c>
      <c r="C408" s="13" t="s">
        <v>1186</v>
      </c>
      <c r="D408" s="13"/>
      <c r="E408" s="13"/>
      <c r="F408" s="12" t="s">
        <v>1591</v>
      </c>
      <c r="G408" s="12" t="s">
        <v>1588</v>
      </c>
      <c r="H408" s="12" t="s">
        <v>1589</v>
      </c>
      <c r="I408" s="15" t="s">
        <v>1590</v>
      </c>
    </row>
    <row r="409" customFormat="false" ht="23.85" hidden="false" customHeight="false" outlineLevel="0" collapsed="false">
      <c r="A409" s="12" t="s">
        <v>94</v>
      </c>
      <c r="B409" s="13" t="s">
        <v>1510</v>
      </c>
      <c r="C409" s="13" t="s">
        <v>1186</v>
      </c>
      <c r="D409" s="13" t="s">
        <v>1186</v>
      </c>
      <c r="E409" s="13" t="s">
        <v>1186</v>
      </c>
      <c r="F409" s="12" t="s">
        <v>1592</v>
      </c>
      <c r="G409" s="12" t="s">
        <v>1588</v>
      </c>
      <c r="H409" s="12" t="s">
        <v>1589</v>
      </c>
      <c r="I409" s="15" t="s">
        <v>1590</v>
      </c>
    </row>
    <row r="410" customFormat="false" ht="23.85" hidden="false" customHeight="false" outlineLevel="0" collapsed="false">
      <c r="A410" s="12" t="s">
        <v>94</v>
      </c>
      <c r="B410" s="13" t="s">
        <v>1511</v>
      </c>
      <c r="C410" s="13" t="s">
        <v>1186</v>
      </c>
      <c r="D410" s="13"/>
      <c r="E410" s="13"/>
      <c r="F410" s="12" t="s">
        <v>1591</v>
      </c>
      <c r="G410" s="12" t="s">
        <v>1588</v>
      </c>
      <c r="H410" s="12" t="s">
        <v>1589</v>
      </c>
      <c r="I410" s="15" t="s">
        <v>1590</v>
      </c>
    </row>
    <row r="411" customFormat="false" ht="23.85" hidden="false" customHeight="false" outlineLevel="0" collapsed="false">
      <c r="A411" s="12" t="s">
        <v>94</v>
      </c>
      <c r="B411" s="13" t="s">
        <v>256</v>
      </c>
      <c r="C411" s="13" t="s">
        <v>1186</v>
      </c>
      <c r="D411" s="13" t="s">
        <v>1186</v>
      </c>
      <c r="E411" s="13" t="s">
        <v>1186</v>
      </c>
      <c r="F411" s="12" t="s">
        <v>1592</v>
      </c>
      <c r="G411" s="12" t="s">
        <v>1588</v>
      </c>
      <c r="H411" s="12" t="s">
        <v>1589</v>
      </c>
      <c r="I411" s="15" t="s">
        <v>1590</v>
      </c>
    </row>
    <row r="412" customFormat="false" ht="23.85" hidden="false" customHeight="false" outlineLevel="0" collapsed="false">
      <c r="A412" s="12" t="s">
        <v>94</v>
      </c>
      <c r="B412" s="13" t="s">
        <v>1501</v>
      </c>
      <c r="C412" s="13" t="s">
        <v>1186</v>
      </c>
      <c r="D412" s="13" t="s">
        <v>1186</v>
      </c>
      <c r="E412" s="13" t="s">
        <v>1186</v>
      </c>
      <c r="F412" s="12" t="s">
        <v>1592</v>
      </c>
      <c r="G412" s="12" t="s">
        <v>1588</v>
      </c>
      <c r="H412" s="12" t="s">
        <v>1589</v>
      </c>
      <c r="I412" s="15" t="s">
        <v>1590</v>
      </c>
    </row>
    <row r="413" customFormat="false" ht="23.85" hidden="false" customHeight="false" outlineLevel="0" collapsed="false">
      <c r="A413" s="12" t="s">
        <v>94</v>
      </c>
      <c r="B413" s="13" t="s">
        <v>1558</v>
      </c>
      <c r="C413" s="13" t="s">
        <v>1186</v>
      </c>
      <c r="D413" s="13" t="s">
        <v>1186</v>
      </c>
      <c r="E413" s="13" t="s">
        <v>1186</v>
      </c>
      <c r="F413" s="12" t="s">
        <v>1591</v>
      </c>
      <c r="G413" s="12" t="s">
        <v>1588</v>
      </c>
      <c r="H413" s="12" t="s">
        <v>1589</v>
      </c>
      <c r="I413" s="15" t="s">
        <v>1590</v>
      </c>
    </row>
    <row r="414" customFormat="false" ht="23.85" hidden="false" customHeight="false" outlineLevel="0" collapsed="false">
      <c r="A414" s="12" t="s">
        <v>94</v>
      </c>
      <c r="B414" s="13" t="s">
        <v>1512</v>
      </c>
      <c r="C414" s="13" t="s">
        <v>1186</v>
      </c>
      <c r="D414" s="13"/>
      <c r="E414" s="13" t="s">
        <v>1186</v>
      </c>
      <c r="F414" s="12" t="s">
        <v>1587</v>
      </c>
      <c r="G414" s="12" t="s">
        <v>1588</v>
      </c>
      <c r="H414" s="12" t="s">
        <v>1589</v>
      </c>
      <c r="I414" s="15" t="s">
        <v>1590</v>
      </c>
    </row>
    <row r="415" customFormat="false" ht="23.85" hidden="false" customHeight="false" outlineLevel="0" collapsed="false">
      <c r="A415" s="12" t="s">
        <v>94</v>
      </c>
      <c r="B415" s="13" t="s">
        <v>442</v>
      </c>
      <c r="C415" s="13"/>
      <c r="D415" s="13"/>
      <c r="E415" s="13" t="s">
        <v>1186</v>
      </c>
      <c r="F415" s="12" t="s">
        <v>1587</v>
      </c>
      <c r="G415" s="12" t="s">
        <v>1588</v>
      </c>
      <c r="H415" s="12" t="s">
        <v>1589</v>
      </c>
      <c r="I415" s="15" t="s">
        <v>1590</v>
      </c>
    </row>
    <row r="416" customFormat="false" ht="23.85" hidden="false" customHeight="false" outlineLevel="0" collapsed="false">
      <c r="A416" s="12" t="s">
        <v>94</v>
      </c>
      <c r="B416" s="13" t="s">
        <v>445</v>
      </c>
      <c r="C416" s="13"/>
      <c r="D416" s="13" t="s">
        <v>1186</v>
      </c>
      <c r="E416" s="13"/>
      <c r="F416" s="12" t="s">
        <v>1592</v>
      </c>
      <c r="G416" s="12" t="s">
        <v>1588</v>
      </c>
      <c r="H416" s="12" t="s">
        <v>1589</v>
      </c>
      <c r="I416" s="15" t="s">
        <v>1590</v>
      </c>
    </row>
    <row r="417" customFormat="false" ht="23.85" hidden="false" customHeight="false" outlineLevel="0" collapsed="false">
      <c r="A417" s="12" t="s">
        <v>94</v>
      </c>
      <c r="B417" s="13" t="s">
        <v>1513</v>
      </c>
      <c r="C417" s="13"/>
      <c r="D417" s="13" t="s">
        <v>1186</v>
      </c>
      <c r="E417" s="13" t="s">
        <v>1186</v>
      </c>
      <c r="F417" s="12" t="s">
        <v>1587</v>
      </c>
      <c r="G417" s="12" t="s">
        <v>1588</v>
      </c>
      <c r="H417" s="12" t="s">
        <v>1589</v>
      </c>
      <c r="I417" s="15" t="s">
        <v>1590</v>
      </c>
    </row>
    <row r="418" customFormat="false" ht="23.85" hidden="false" customHeight="false" outlineLevel="0" collapsed="false">
      <c r="A418" s="12" t="s">
        <v>94</v>
      </c>
      <c r="B418" s="13" t="s">
        <v>1514</v>
      </c>
      <c r="C418" s="13" t="s">
        <v>1186</v>
      </c>
      <c r="D418" s="13" t="s">
        <v>1186</v>
      </c>
      <c r="E418" s="13" t="s">
        <v>1186</v>
      </c>
      <c r="F418" s="12" t="s">
        <v>1592</v>
      </c>
      <c r="G418" s="12" t="s">
        <v>1588</v>
      </c>
      <c r="H418" s="12" t="s">
        <v>1589</v>
      </c>
      <c r="I418" s="15" t="s">
        <v>1590</v>
      </c>
    </row>
    <row r="419" customFormat="false" ht="23.85" hidden="false" customHeight="false" outlineLevel="0" collapsed="false">
      <c r="A419" s="12" t="s">
        <v>94</v>
      </c>
      <c r="B419" s="13" t="s">
        <v>255</v>
      </c>
      <c r="C419" s="13" t="s">
        <v>1186</v>
      </c>
      <c r="D419" s="13" t="s">
        <v>1186</v>
      </c>
      <c r="E419" s="13" t="s">
        <v>1186</v>
      </c>
      <c r="F419" s="12" t="s">
        <v>1591</v>
      </c>
      <c r="G419" s="12" t="s">
        <v>1588</v>
      </c>
      <c r="H419" s="12" t="s">
        <v>1589</v>
      </c>
      <c r="I419" s="15" t="s">
        <v>1590</v>
      </c>
    </row>
    <row r="420" customFormat="false" ht="23.85" hidden="false" customHeight="false" outlineLevel="0" collapsed="false">
      <c r="A420" s="12" t="s">
        <v>94</v>
      </c>
      <c r="B420" s="13" t="s">
        <v>1498</v>
      </c>
      <c r="C420" s="13" t="s">
        <v>1186</v>
      </c>
      <c r="D420" s="13" t="s">
        <v>1186</v>
      </c>
      <c r="E420" s="13" t="s">
        <v>1186</v>
      </c>
      <c r="F420" s="12" t="s">
        <v>1592</v>
      </c>
      <c r="G420" s="12" t="s">
        <v>1588</v>
      </c>
      <c r="H420" s="12" t="s">
        <v>1589</v>
      </c>
      <c r="I420" s="15" t="s">
        <v>1590</v>
      </c>
    </row>
    <row r="421" customFormat="false" ht="23.85" hidden="false" customHeight="false" outlineLevel="0" collapsed="false">
      <c r="A421" s="12" t="s">
        <v>94</v>
      </c>
      <c r="B421" s="13" t="s">
        <v>1559</v>
      </c>
      <c r="C421" s="13" t="s">
        <v>1186</v>
      </c>
      <c r="D421" s="13"/>
      <c r="E421" s="13" t="s">
        <v>1186</v>
      </c>
      <c r="F421" s="12" t="s">
        <v>1591</v>
      </c>
      <c r="G421" s="12" t="s">
        <v>1588</v>
      </c>
      <c r="H421" s="12" t="s">
        <v>1589</v>
      </c>
      <c r="I421" s="15" t="s">
        <v>1590</v>
      </c>
    </row>
    <row r="422" customFormat="false" ht="23.85" hidden="false" customHeight="false" outlineLevel="0" collapsed="false">
      <c r="A422" s="12" t="s">
        <v>94</v>
      </c>
      <c r="B422" s="13" t="s">
        <v>1515</v>
      </c>
      <c r="C422" s="13" t="s">
        <v>1186</v>
      </c>
      <c r="D422" s="13" t="s">
        <v>1186</v>
      </c>
      <c r="E422" s="13" t="s">
        <v>1186</v>
      </c>
      <c r="F422" s="12" t="s">
        <v>1587</v>
      </c>
      <c r="G422" s="12" t="s">
        <v>1588</v>
      </c>
      <c r="H422" s="12" t="s">
        <v>1589</v>
      </c>
      <c r="I422" s="15" t="s">
        <v>1590</v>
      </c>
    </row>
    <row r="423" customFormat="false" ht="23.85" hidden="false" customHeight="false" outlineLevel="0" collapsed="false">
      <c r="A423" s="12" t="s">
        <v>94</v>
      </c>
      <c r="B423" s="13" t="s">
        <v>490</v>
      </c>
      <c r="C423" s="13" t="s">
        <v>1186</v>
      </c>
      <c r="D423" s="13" t="s">
        <v>1186</v>
      </c>
      <c r="E423" s="13"/>
      <c r="F423" s="12" t="s">
        <v>1592</v>
      </c>
      <c r="G423" s="12" t="s">
        <v>1588</v>
      </c>
      <c r="H423" s="12" t="s">
        <v>1589</v>
      </c>
      <c r="I423" s="15" t="s">
        <v>1590</v>
      </c>
    </row>
    <row r="424" customFormat="false" ht="23.85" hidden="false" customHeight="false" outlineLevel="0" collapsed="false">
      <c r="A424" s="12" t="s">
        <v>94</v>
      </c>
      <c r="B424" s="13" t="s">
        <v>1516</v>
      </c>
      <c r="C424" s="13" t="s">
        <v>1186</v>
      </c>
      <c r="D424" s="13" t="s">
        <v>1186</v>
      </c>
      <c r="E424" s="13" t="s">
        <v>1186</v>
      </c>
      <c r="F424" s="12" t="s">
        <v>1592</v>
      </c>
      <c r="G424" s="12" t="s">
        <v>1588</v>
      </c>
      <c r="H424" s="12" t="s">
        <v>1589</v>
      </c>
      <c r="I424" s="15" t="s">
        <v>1590</v>
      </c>
    </row>
    <row r="425" customFormat="false" ht="23.85" hidden="false" customHeight="false" outlineLevel="0" collapsed="false">
      <c r="A425" s="12" t="s">
        <v>94</v>
      </c>
      <c r="B425" s="13" t="s">
        <v>1517</v>
      </c>
      <c r="C425" s="13"/>
      <c r="D425" s="13"/>
      <c r="E425" s="13" t="s">
        <v>1186</v>
      </c>
      <c r="F425" s="12" t="s">
        <v>1587</v>
      </c>
      <c r="G425" s="12" t="s">
        <v>1588</v>
      </c>
      <c r="H425" s="12" t="s">
        <v>1589</v>
      </c>
      <c r="I425" s="15" t="s">
        <v>1590</v>
      </c>
    </row>
    <row r="426" customFormat="false" ht="23.85" hidden="false" customHeight="false" outlineLevel="0" collapsed="false">
      <c r="A426" s="12" t="s">
        <v>94</v>
      </c>
      <c r="B426" s="13" t="s">
        <v>1560</v>
      </c>
      <c r="C426" s="13"/>
      <c r="D426" s="13"/>
      <c r="E426" s="13" t="s">
        <v>1186</v>
      </c>
      <c r="F426" s="12" t="s">
        <v>1587</v>
      </c>
      <c r="G426" s="12" t="s">
        <v>1588</v>
      </c>
      <c r="H426" s="12" t="s">
        <v>1589</v>
      </c>
      <c r="I426" s="15" t="s">
        <v>1590</v>
      </c>
    </row>
    <row r="427" customFormat="false" ht="23.85" hidden="false" customHeight="false" outlineLevel="0" collapsed="false">
      <c r="A427" s="12" t="s">
        <v>94</v>
      </c>
      <c r="B427" s="13" t="s">
        <v>1519</v>
      </c>
      <c r="C427" s="13" t="s">
        <v>1186</v>
      </c>
      <c r="D427" s="13" t="s">
        <v>1186</v>
      </c>
      <c r="E427" s="13"/>
      <c r="F427" s="12" t="s">
        <v>1592</v>
      </c>
      <c r="G427" s="12" t="s">
        <v>1588</v>
      </c>
      <c r="H427" s="12" t="s">
        <v>1589</v>
      </c>
      <c r="I427" s="15" t="s">
        <v>1590</v>
      </c>
    </row>
    <row r="428" customFormat="false" ht="23.85" hidden="false" customHeight="false" outlineLevel="0" collapsed="false">
      <c r="A428" s="12" t="s">
        <v>94</v>
      </c>
      <c r="B428" s="13" t="s">
        <v>1593</v>
      </c>
      <c r="C428" s="13"/>
      <c r="D428" s="13"/>
      <c r="E428" s="13" t="s">
        <v>1186</v>
      </c>
      <c r="F428" s="12" t="s">
        <v>1587</v>
      </c>
      <c r="G428" s="12" t="s">
        <v>1588</v>
      </c>
      <c r="H428" s="12" t="s">
        <v>1589</v>
      </c>
      <c r="I428" s="15" t="s">
        <v>1590</v>
      </c>
    </row>
    <row r="429" customFormat="false" ht="23.85" hidden="false" customHeight="false" outlineLevel="0" collapsed="false">
      <c r="A429" s="12" t="s">
        <v>94</v>
      </c>
      <c r="B429" s="13" t="s">
        <v>1520</v>
      </c>
      <c r="C429" s="13"/>
      <c r="D429" s="13" t="s">
        <v>1186</v>
      </c>
      <c r="E429" s="13" t="s">
        <v>1186</v>
      </c>
      <c r="F429" s="12" t="s">
        <v>1587</v>
      </c>
      <c r="G429" s="12" t="s">
        <v>1588</v>
      </c>
      <c r="H429" s="12" t="s">
        <v>1589</v>
      </c>
      <c r="I429" s="15" t="s">
        <v>1590</v>
      </c>
    </row>
    <row r="430" customFormat="false" ht="23.85" hidden="false" customHeight="false" outlineLevel="0" collapsed="false">
      <c r="A430" s="12" t="s">
        <v>94</v>
      </c>
      <c r="B430" s="13" t="s">
        <v>367</v>
      </c>
      <c r="C430" s="13" t="s">
        <v>1186</v>
      </c>
      <c r="D430" s="13" t="s">
        <v>1186</v>
      </c>
      <c r="E430" s="13" t="s">
        <v>1186</v>
      </c>
      <c r="F430" s="12" t="s">
        <v>1591</v>
      </c>
      <c r="G430" s="12" t="s">
        <v>1588</v>
      </c>
      <c r="H430" s="12" t="s">
        <v>1589</v>
      </c>
      <c r="I430" s="15" t="s">
        <v>1590</v>
      </c>
    </row>
    <row r="431" customFormat="false" ht="23.85" hidden="false" customHeight="false" outlineLevel="0" collapsed="false">
      <c r="A431" s="12" t="s">
        <v>94</v>
      </c>
      <c r="B431" s="13" t="s">
        <v>1522</v>
      </c>
      <c r="C431" s="13" t="s">
        <v>1186</v>
      </c>
      <c r="D431" s="13" t="s">
        <v>1186</v>
      </c>
      <c r="E431" s="13" t="s">
        <v>1186</v>
      </c>
      <c r="F431" s="12" t="s">
        <v>1591</v>
      </c>
      <c r="G431" s="12" t="s">
        <v>1588</v>
      </c>
      <c r="H431" s="12" t="s">
        <v>1589</v>
      </c>
      <c r="I431" s="15" t="s">
        <v>1590</v>
      </c>
    </row>
    <row r="432" customFormat="false" ht="23.85" hidden="false" customHeight="false" outlineLevel="0" collapsed="false">
      <c r="A432" s="12" t="s">
        <v>94</v>
      </c>
      <c r="B432" s="13" t="s">
        <v>377</v>
      </c>
      <c r="C432" s="13" t="s">
        <v>1186</v>
      </c>
      <c r="D432" s="13" t="s">
        <v>1186</v>
      </c>
      <c r="E432" s="13" t="s">
        <v>1186</v>
      </c>
      <c r="F432" s="12" t="s">
        <v>1591</v>
      </c>
      <c r="G432" s="12" t="s">
        <v>1588</v>
      </c>
      <c r="H432" s="12" t="s">
        <v>1589</v>
      </c>
      <c r="I432" s="15" t="s">
        <v>1590</v>
      </c>
    </row>
    <row r="433" customFormat="false" ht="23.85" hidden="false" customHeight="false" outlineLevel="0" collapsed="false">
      <c r="A433" s="12" t="s">
        <v>94</v>
      </c>
      <c r="B433" s="13" t="s">
        <v>1523</v>
      </c>
      <c r="C433" s="13" t="s">
        <v>1186</v>
      </c>
      <c r="D433" s="13" t="s">
        <v>1186</v>
      </c>
      <c r="E433" s="13" t="s">
        <v>1186</v>
      </c>
      <c r="F433" s="12" t="s">
        <v>1591</v>
      </c>
      <c r="G433" s="12" t="s">
        <v>1588</v>
      </c>
      <c r="H433" s="12" t="s">
        <v>1589</v>
      </c>
      <c r="I433" s="15" t="s">
        <v>1590</v>
      </c>
    </row>
    <row r="434" customFormat="false" ht="23.85" hidden="false" customHeight="false" outlineLevel="0" collapsed="false">
      <c r="A434" s="12" t="s">
        <v>94</v>
      </c>
      <c r="B434" s="13" t="s">
        <v>1524</v>
      </c>
      <c r="C434" s="13"/>
      <c r="D434" s="13"/>
      <c r="E434" s="13" t="s">
        <v>1186</v>
      </c>
      <c r="F434" s="12" t="s">
        <v>1587</v>
      </c>
      <c r="G434" s="12" t="s">
        <v>1588</v>
      </c>
      <c r="H434" s="12" t="s">
        <v>1589</v>
      </c>
      <c r="I434" s="15" t="s">
        <v>1590</v>
      </c>
    </row>
    <row r="435" customFormat="false" ht="23.85" hidden="false" customHeight="false" outlineLevel="0" collapsed="false">
      <c r="A435" s="12" t="s">
        <v>94</v>
      </c>
      <c r="B435" s="13" t="s">
        <v>1525</v>
      </c>
      <c r="C435" s="13" t="s">
        <v>1186</v>
      </c>
      <c r="D435" s="13" t="s">
        <v>1186</v>
      </c>
      <c r="E435" s="13"/>
      <c r="F435" s="12" t="s">
        <v>1592</v>
      </c>
      <c r="G435" s="12" t="s">
        <v>1588</v>
      </c>
      <c r="H435" s="12" t="s">
        <v>1589</v>
      </c>
      <c r="I435" s="15" t="s">
        <v>1590</v>
      </c>
    </row>
    <row r="436" customFormat="false" ht="23.85" hidden="false" customHeight="false" outlineLevel="0" collapsed="false">
      <c r="A436" s="12" t="s">
        <v>94</v>
      </c>
      <c r="B436" s="13" t="s">
        <v>305</v>
      </c>
      <c r="C436" s="13" t="s">
        <v>1186</v>
      </c>
      <c r="D436" s="13" t="s">
        <v>1186</v>
      </c>
      <c r="E436" s="13" t="s">
        <v>1186</v>
      </c>
      <c r="F436" s="12" t="s">
        <v>1587</v>
      </c>
      <c r="G436" s="12" t="s">
        <v>1588</v>
      </c>
      <c r="H436" s="12" t="s">
        <v>1589</v>
      </c>
      <c r="I436" s="15" t="s">
        <v>1590</v>
      </c>
    </row>
    <row r="437" customFormat="false" ht="23.85" hidden="false" customHeight="false" outlineLevel="0" collapsed="false">
      <c r="A437" s="12" t="s">
        <v>94</v>
      </c>
      <c r="B437" s="13" t="s">
        <v>381</v>
      </c>
      <c r="C437" s="13"/>
      <c r="D437" s="13" t="s">
        <v>1186</v>
      </c>
      <c r="E437" s="13" t="s">
        <v>1186</v>
      </c>
      <c r="F437" s="12" t="s">
        <v>1592</v>
      </c>
      <c r="G437" s="12" t="s">
        <v>1588</v>
      </c>
      <c r="H437" s="12" t="s">
        <v>1589</v>
      </c>
      <c r="I437" s="15" t="s">
        <v>1590</v>
      </c>
    </row>
    <row r="438" customFormat="false" ht="23.85" hidden="false" customHeight="false" outlineLevel="0" collapsed="false">
      <c r="A438" s="12" t="s">
        <v>94</v>
      </c>
      <c r="B438" s="13" t="s">
        <v>1526</v>
      </c>
      <c r="C438" s="13" t="s">
        <v>1186</v>
      </c>
      <c r="D438" s="13" t="s">
        <v>1186</v>
      </c>
      <c r="E438" s="13" t="s">
        <v>1186</v>
      </c>
      <c r="F438" s="12" t="s">
        <v>1592</v>
      </c>
      <c r="G438" s="12" t="s">
        <v>1588</v>
      </c>
      <c r="H438" s="12" t="s">
        <v>1589</v>
      </c>
      <c r="I438" s="15" t="s">
        <v>1590</v>
      </c>
    </row>
    <row r="439" customFormat="false" ht="23.85" hidden="false" customHeight="false" outlineLevel="0" collapsed="false">
      <c r="A439" s="12" t="s">
        <v>94</v>
      </c>
      <c r="B439" s="13" t="s">
        <v>316</v>
      </c>
      <c r="C439" s="13" t="s">
        <v>1186</v>
      </c>
      <c r="D439" s="13" t="s">
        <v>1186</v>
      </c>
      <c r="E439" s="13" t="s">
        <v>1186</v>
      </c>
      <c r="F439" s="12" t="s">
        <v>1591</v>
      </c>
      <c r="G439" s="12" t="s">
        <v>1588</v>
      </c>
      <c r="H439" s="12" t="s">
        <v>1589</v>
      </c>
      <c r="I439" s="15" t="s">
        <v>1590</v>
      </c>
    </row>
    <row r="440" customFormat="false" ht="23.85" hidden="false" customHeight="false" outlineLevel="0" collapsed="false">
      <c r="A440" s="12" t="s">
        <v>94</v>
      </c>
      <c r="B440" s="13" t="s">
        <v>1527</v>
      </c>
      <c r="C440" s="13" t="s">
        <v>1186</v>
      </c>
      <c r="D440" s="13"/>
      <c r="E440" s="13"/>
      <c r="F440" s="12" t="s">
        <v>1591</v>
      </c>
      <c r="G440" s="12" t="s">
        <v>1588</v>
      </c>
      <c r="H440" s="12" t="s">
        <v>1589</v>
      </c>
      <c r="I440" s="15" t="s">
        <v>1590</v>
      </c>
    </row>
    <row r="441" customFormat="false" ht="23.85" hidden="false" customHeight="false" outlineLevel="0" collapsed="false">
      <c r="A441" s="12" t="s">
        <v>94</v>
      </c>
      <c r="B441" s="13" t="s">
        <v>1528</v>
      </c>
      <c r="C441" s="13" t="s">
        <v>1186</v>
      </c>
      <c r="D441" s="13" t="s">
        <v>1186</v>
      </c>
      <c r="E441" s="13" t="s">
        <v>1186</v>
      </c>
      <c r="F441" s="12" t="s">
        <v>1592</v>
      </c>
      <c r="G441" s="12" t="s">
        <v>1588</v>
      </c>
      <c r="H441" s="12" t="s">
        <v>1589</v>
      </c>
      <c r="I441" s="15" t="s">
        <v>1590</v>
      </c>
    </row>
    <row r="442" customFormat="false" ht="23.85" hidden="false" customHeight="false" outlineLevel="0" collapsed="false">
      <c r="A442" s="12" t="s">
        <v>94</v>
      </c>
      <c r="B442" s="13" t="s">
        <v>1594</v>
      </c>
      <c r="C442" s="13"/>
      <c r="D442" s="13"/>
      <c r="E442" s="13" t="s">
        <v>1186</v>
      </c>
      <c r="F442" s="12" t="s">
        <v>1587</v>
      </c>
      <c r="G442" s="12" t="s">
        <v>1588</v>
      </c>
      <c r="H442" s="12" t="s">
        <v>1589</v>
      </c>
      <c r="I442" s="15" t="s">
        <v>1590</v>
      </c>
    </row>
    <row r="443" customFormat="false" ht="23.85" hidden="false" customHeight="false" outlineLevel="0" collapsed="false">
      <c r="A443" s="12" t="s">
        <v>94</v>
      </c>
      <c r="B443" s="13" t="s">
        <v>1529</v>
      </c>
      <c r="C443" s="13" t="s">
        <v>1186</v>
      </c>
      <c r="D443" s="13"/>
      <c r="E443" s="13" t="s">
        <v>1186</v>
      </c>
      <c r="F443" s="12" t="s">
        <v>1591</v>
      </c>
      <c r="G443" s="12" t="s">
        <v>1588</v>
      </c>
      <c r="H443" s="12" t="s">
        <v>1589</v>
      </c>
      <c r="I443" s="15" t="s">
        <v>1590</v>
      </c>
    </row>
    <row r="444" customFormat="false" ht="23.85" hidden="false" customHeight="false" outlineLevel="0" collapsed="false">
      <c r="A444" s="12" t="s">
        <v>94</v>
      </c>
      <c r="B444" s="13" t="s">
        <v>1530</v>
      </c>
      <c r="C444" s="13"/>
      <c r="D444" s="13" t="s">
        <v>1186</v>
      </c>
      <c r="E444" s="13" t="s">
        <v>1186</v>
      </c>
      <c r="F444" s="12" t="s">
        <v>1587</v>
      </c>
      <c r="G444" s="12" t="s">
        <v>1588</v>
      </c>
      <c r="H444" s="12" t="s">
        <v>1589</v>
      </c>
      <c r="I444" s="15" t="s">
        <v>1590</v>
      </c>
    </row>
    <row r="445" customFormat="false" ht="23.85" hidden="false" customHeight="false" outlineLevel="0" collapsed="false">
      <c r="A445" s="12" t="s">
        <v>94</v>
      </c>
      <c r="B445" s="13" t="s">
        <v>1545</v>
      </c>
      <c r="C445" s="13" t="s">
        <v>1186</v>
      </c>
      <c r="D445" s="13"/>
      <c r="E445" s="13"/>
      <c r="F445" s="12" t="s">
        <v>1591</v>
      </c>
      <c r="G445" s="12" t="s">
        <v>1588</v>
      </c>
      <c r="H445" s="12" t="s">
        <v>1589</v>
      </c>
      <c r="I445" s="15" t="s">
        <v>1590</v>
      </c>
    </row>
    <row r="446" customFormat="false" ht="23.85" hidden="false" customHeight="false" outlineLevel="0" collapsed="false">
      <c r="A446" s="12" t="s">
        <v>1595</v>
      </c>
      <c r="B446" s="13" t="s">
        <v>305</v>
      </c>
      <c r="C446" s="13" t="s">
        <v>1186</v>
      </c>
      <c r="D446" s="13"/>
      <c r="E446" s="13"/>
      <c r="F446" s="12" t="s">
        <v>81</v>
      </c>
      <c r="G446" s="12" t="s">
        <v>170</v>
      </c>
      <c r="H446" s="12" t="s">
        <v>1494</v>
      </c>
      <c r="I446" s="15" t="s">
        <v>1495</v>
      </c>
    </row>
    <row r="447" customFormat="false" ht="23.85" hidden="false" customHeight="false" outlineLevel="0" collapsed="false">
      <c r="A447" s="12" t="s">
        <v>1596</v>
      </c>
      <c r="B447" s="13" t="s">
        <v>442</v>
      </c>
      <c r="C447" s="13" t="s">
        <v>1186</v>
      </c>
      <c r="D447" s="13"/>
      <c r="E447" s="13"/>
      <c r="F447" s="12" t="s">
        <v>81</v>
      </c>
      <c r="G447" s="12" t="s">
        <v>170</v>
      </c>
      <c r="H447" s="12" t="s">
        <v>1494</v>
      </c>
      <c r="I447" s="15" t="s">
        <v>1495</v>
      </c>
    </row>
    <row r="448" customFormat="false" ht="23.85" hidden="false" customHeight="false" outlineLevel="0" collapsed="false">
      <c r="A448" s="12" t="s">
        <v>1597</v>
      </c>
      <c r="B448" s="13" t="s">
        <v>442</v>
      </c>
      <c r="C448" s="13"/>
      <c r="D448" s="13" t="s">
        <v>1186</v>
      </c>
      <c r="E448" s="13"/>
      <c r="F448" s="12" t="s">
        <v>82</v>
      </c>
      <c r="G448" s="12" t="s">
        <v>170</v>
      </c>
      <c r="H448" s="12" t="s">
        <v>1494</v>
      </c>
      <c r="I448" s="15" t="s">
        <v>1495</v>
      </c>
    </row>
    <row r="449" customFormat="false" ht="23.85" hidden="false" customHeight="false" outlineLevel="0" collapsed="false">
      <c r="A449" s="12" t="s">
        <v>1597</v>
      </c>
      <c r="B449" s="13" t="s">
        <v>1525</v>
      </c>
      <c r="C449" s="13"/>
      <c r="D449" s="13" t="s">
        <v>1186</v>
      </c>
      <c r="E449" s="13"/>
      <c r="F449" s="12" t="s">
        <v>82</v>
      </c>
      <c r="G449" s="12" t="s">
        <v>170</v>
      </c>
      <c r="H449" s="12" t="s">
        <v>1494</v>
      </c>
      <c r="I449" s="15" t="s">
        <v>1495</v>
      </c>
    </row>
    <row r="450" customFormat="false" ht="23.85" hidden="false" customHeight="false" outlineLevel="0" collapsed="false">
      <c r="A450" s="12" t="s">
        <v>1597</v>
      </c>
      <c r="B450" s="13" t="s">
        <v>305</v>
      </c>
      <c r="C450" s="13"/>
      <c r="D450" s="13" t="s">
        <v>1186</v>
      </c>
      <c r="E450" s="13"/>
      <c r="F450" s="12" t="s">
        <v>82</v>
      </c>
      <c r="G450" s="12" t="s">
        <v>170</v>
      </c>
      <c r="H450" s="12" t="s">
        <v>1494</v>
      </c>
      <c r="I450" s="15" t="s">
        <v>1495</v>
      </c>
    </row>
    <row r="451" customFormat="false" ht="23.85" hidden="false" customHeight="false" outlineLevel="0" collapsed="false">
      <c r="A451" s="12" t="s">
        <v>1597</v>
      </c>
      <c r="B451" s="13" t="s">
        <v>381</v>
      </c>
      <c r="C451" s="13"/>
      <c r="D451" s="13" t="s">
        <v>1186</v>
      </c>
      <c r="E451" s="13"/>
      <c r="F451" s="12" t="s">
        <v>82</v>
      </c>
      <c r="G451" s="12" t="s">
        <v>170</v>
      </c>
      <c r="H451" s="12" t="s">
        <v>1494</v>
      </c>
      <c r="I451" s="15" t="s">
        <v>1495</v>
      </c>
    </row>
    <row r="452" customFormat="false" ht="23.85" hidden="false" customHeight="false" outlineLevel="0" collapsed="false">
      <c r="A452" s="12" t="s">
        <v>281</v>
      </c>
      <c r="B452" s="13" t="s">
        <v>255</v>
      </c>
      <c r="C452" s="13" t="s">
        <v>1186</v>
      </c>
      <c r="D452" s="13"/>
      <c r="E452" s="13"/>
      <c r="F452" s="12" t="s">
        <v>81</v>
      </c>
      <c r="G452" s="12" t="s">
        <v>170</v>
      </c>
      <c r="H452" s="12" t="s">
        <v>1494</v>
      </c>
      <c r="I452" s="15" t="s">
        <v>1495</v>
      </c>
    </row>
    <row r="453" customFormat="false" ht="23.85" hidden="false" customHeight="false" outlineLevel="0" collapsed="false">
      <c r="A453" s="12" t="s">
        <v>1598</v>
      </c>
      <c r="B453" s="13" t="s">
        <v>249</v>
      </c>
      <c r="C453" s="13" t="s">
        <v>1186</v>
      </c>
      <c r="D453" s="13"/>
      <c r="E453" s="13"/>
      <c r="F453" s="12" t="s">
        <v>81</v>
      </c>
      <c r="G453" s="12" t="s">
        <v>170</v>
      </c>
      <c r="H453" s="12" t="s">
        <v>1494</v>
      </c>
      <c r="I453" s="15" t="s">
        <v>1495</v>
      </c>
    </row>
    <row r="454" customFormat="false" ht="23.85" hidden="false" customHeight="false" outlineLevel="0" collapsed="false">
      <c r="A454" s="12" t="s">
        <v>1598</v>
      </c>
      <c r="B454" s="13" t="s">
        <v>256</v>
      </c>
      <c r="C454" s="13" t="s">
        <v>1186</v>
      </c>
      <c r="D454" s="13"/>
      <c r="E454" s="13"/>
      <c r="F454" s="12" t="s">
        <v>81</v>
      </c>
      <c r="G454" s="12" t="s">
        <v>170</v>
      </c>
      <c r="H454" s="12" t="s">
        <v>1494</v>
      </c>
      <c r="I454" s="15" t="s">
        <v>1495</v>
      </c>
    </row>
    <row r="455" customFormat="false" ht="23.85" hidden="false" customHeight="false" outlineLevel="0" collapsed="false">
      <c r="A455" s="12" t="s">
        <v>1598</v>
      </c>
      <c r="B455" s="13" t="s">
        <v>1501</v>
      </c>
      <c r="C455" s="13" t="s">
        <v>1186</v>
      </c>
      <c r="D455" s="13"/>
      <c r="E455" s="13"/>
      <c r="F455" s="12" t="s">
        <v>81</v>
      </c>
      <c r="G455" s="12" t="s">
        <v>170</v>
      </c>
      <c r="H455" s="12" t="s">
        <v>1494</v>
      </c>
      <c r="I455" s="15" t="s">
        <v>1495</v>
      </c>
    </row>
    <row r="456" customFormat="false" ht="23.85" hidden="false" customHeight="false" outlineLevel="0" collapsed="false">
      <c r="A456" s="12" t="s">
        <v>1598</v>
      </c>
      <c r="B456" s="13" t="s">
        <v>1512</v>
      </c>
      <c r="C456" s="13" t="s">
        <v>1186</v>
      </c>
      <c r="D456" s="13" t="s">
        <v>1186</v>
      </c>
      <c r="E456" s="13"/>
      <c r="F456" s="12" t="s">
        <v>1518</v>
      </c>
      <c r="G456" s="12" t="s">
        <v>170</v>
      </c>
      <c r="H456" s="12" t="s">
        <v>1494</v>
      </c>
      <c r="I456" s="15" t="s">
        <v>1495</v>
      </c>
    </row>
    <row r="457" customFormat="false" ht="23.85" hidden="false" customHeight="false" outlineLevel="0" collapsed="false">
      <c r="A457" s="12" t="s">
        <v>1598</v>
      </c>
      <c r="B457" s="13" t="s">
        <v>305</v>
      </c>
      <c r="C457" s="13" t="s">
        <v>1186</v>
      </c>
      <c r="D457" s="13"/>
      <c r="E457" s="13"/>
      <c r="F457" s="12" t="s">
        <v>81</v>
      </c>
      <c r="G457" s="12" t="s">
        <v>170</v>
      </c>
      <c r="H457" s="12" t="s">
        <v>1494</v>
      </c>
      <c r="I457" s="15" t="s">
        <v>1495</v>
      </c>
    </row>
    <row r="458" customFormat="false" ht="23.85" hidden="false" customHeight="false" outlineLevel="0" collapsed="false">
      <c r="A458" s="12" t="s">
        <v>1598</v>
      </c>
      <c r="B458" s="13" t="s">
        <v>381</v>
      </c>
      <c r="C458" s="13" t="s">
        <v>1186</v>
      </c>
      <c r="D458" s="13"/>
      <c r="E458" s="13"/>
      <c r="F458" s="12" t="s">
        <v>81</v>
      </c>
      <c r="G458" s="12" t="s">
        <v>170</v>
      </c>
      <c r="H458" s="12" t="s">
        <v>1494</v>
      </c>
      <c r="I458" s="15" t="s">
        <v>1495</v>
      </c>
    </row>
    <row r="459" customFormat="false" ht="23.85" hidden="false" customHeight="false" outlineLevel="0" collapsed="false">
      <c r="A459" s="12" t="s">
        <v>1599</v>
      </c>
      <c r="B459" s="13" t="s">
        <v>1503</v>
      </c>
      <c r="C459" s="13"/>
      <c r="D459" s="13" t="s">
        <v>1186</v>
      </c>
      <c r="E459" s="13"/>
      <c r="F459" s="12" t="s">
        <v>82</v>
      </c>
      <c r="G459" s="12" t="s">
        <v>170</v>
      </c>
      <c r="H459" s="12" t="s">
        <v>1494</v>
      </c>
      <c r="I459" s="15" t="s">
        <v>1495</v>
      </c>
    </row>
    <row r="460" customFormat="false" ht="23.85" hidden="false" customHeight="false" outlineLevel="0" collapsed="false">
      <c r="A460" s="12" t="s">
        <v>530</v>
      </c>
      <c r="B460" s="13" t="s">
        <v>367</v>
      </c>
      <c r="C460" s="13"/>
      <c r="D460" s="13"/>
      <c r="E460" s="13" t="s">
        <v>1186</v>
      </c>
      <c r="F460" s="12" t="s">
        <v>83</v>
      </c>
      <c r="G460" s="12" t="s">
        <v>170</v>
      </c>
      <c r="H460" s="12" t="s">
        <v>1494</v>
      </c>
      <c r="I460" s="15" t="s">
        <v>1495</v>
      </c>
    </row>
    <row r="461" customFormat="false" ht="23.85" hidden="false" customHeight="false" outlineLevel="0" collapsed="false">
      <c r="A461" s="12" t="s">
        <v>530</v>
      </c>
      <c r="B461" s="13" t="s">
        <v>305</v>
      </c>
      <c r="C461" s="13"/>
      <c r="D461" s="13"/>
      <c r="E461" s="13" t="s">
        <v>1186</v>
      </c>
      <c r="F461" s="12" t="s">
        <v>83</v>
      </c>
      <c r="G461" s="12" t="s">
        <v>170</v>
      </c>
      <c r="H461" s="12" t="s">
        <v>1494</v>
      </c>
      <c r="I461" s="15" t="s">
        <v>1495</v>
      </c>
    </row>
    <row r="462" customFormat="false" ht="23.85" hidden="false" customHeight="false" outlineLevel="0" collapsed="false">
      <c r="A462" s="12" t="s">
        <v>1600</v>
      </c>
      <c r="B462" s="13" t="s">
        <v>1515</v>
      </c>
      <c r="C462" s="13" t="s">
        <v>1186</v>
      </c>
      <c r="D462" s="13"/>
      <c r="E462" s="13"/>
      <c r="F462" s="12" t="s">
        <v>81</v>
      </c>
      <c r="G462" s="12" t="s">
        <v>170</v>
      </c>
      <c r="H462" s="12" t="s">
        <v>1494</v>
      </c>
      <c r="I462" s="15" t="s">
        <v>1495</v>
      </c>
    </row>
    <row r="463" customFormat="false" ht="23.85" hidden="false" customHeight="false" outlineLevel="0" collapsed="false">
      <c r="A463" s="12" t="s">
        <v>1601</v>
      </c>
      <c r="B463" s="13" t="s">
        <v>256</v>
      </c>
      <c r="C463" s="13" t="s">
        <v>1186</v>
      </c>
      <c r="D463" s="13"/>
      <c r="E463" s="13"/>
      <c r="F463" s="12" t="s">
        <v>81</v>
      </c>
      <c r="G463" s="12" t="s">
        <v>170</v>
      </c>
      <c r="H463" s="12" t="s">
        <v>1494</v>
      </c>
      <c r="I463" s="15" t="s">
        <v>1495</v>
      </c>
    </row>
    <row r="464" customFormat="false" ht="23.85" hidden="false" customHeight="false" outlineLevel="0" collapsed="false">
      <c r="A464" s="12" t="s">
        <v>1602</v>
      </c>
      <c r="B464" s="13" t="s">
        <v>445</v>
      </c>
      <c r="C464" s="13"/>
      <c r="D464" s="13"/>
      <c r="E464" s="13" t="s">
        <v>1186</v>
      </c>
      <c r="F464" s="12" t="s">
        <v>83</v>
      </c>
      <c r="G464" s="12" t="s">
        <v>170</v>
      </c>
      <c r="H464" s="12" t="s">
        <v>1494</v>
      </c>
      <c r="I464" s="15" t="s">
        <v>1495</v>
      </c>
    </row>
    <row r="465" customFormat="false" ht="23.85" hidden="false" customHeight="false" outlineLevel="0" collapsed="false">
      <c r="A465" s="12" t="s">
        <v>1602</v>
      </c>
      <c r="B465" s="13" t="s">
        <v>367</v>
      </c>
      <c r="C465" s="13"/>
      <c r="D465" s="13"/>
      <c r="E465" s="13" t="s">
        <v>1186</v>
      </c>
      <c r="F465" s="12" t="s">
        <v>83</v>
      </c>
      <c r="G465" s="12" t="s">
        <v>170</v>
      </c>
      <c r="H465" s="12" t="s">
        <v>1494</v>
      </c>
      <c r="I465" s="15" t="s">
        <v>1495</v>
      </c>
    </row>
    <row r="466" customFormat="false" ht="23.85" hidden="false" customHeight="false" outlineLevel="0" collapsed="false">
      <c r="A466" s="12" t="s">
        <v>1602</v>
      </c>
      <c r="B466" s="13" t="s">
        <v>1529</v>
      </c>
      <c r="C466" s="13"/>
      <c r="D466" s="13"/>
      <c r="E466" s="13" t="s">
        <v>1186</v>
      </c>
      <c r="F466" s="12" t="s">
        <v>83</v>
      </c>
      <c r="G466" s="12" t="s">
        <v>170</v>
      </c>
      <c r="H466" s="12" t="s">
        <v>1494</v>
      </c>
      <c r="I466" s="15" t="s">
        <v>1495</v>
      </c>
    </row>
    <row r="467" customFormat="false" ht="23.85" hidden="false" customHeight="false" outlineLevel="0" collapsed="false">
      <c r="A467" s="12" t="s">
        <v>1603</v>
      </c>
      <c r="B467" s="13" t="s">
        <v>377</v>
      </c>
      <c r="C467" s="13" t="s">
        <v>1186</v>
      </c>
      <c r="D467" s="13"/>
      <c r="E467" s="13"/>
      <c r="F467" s="12" t="s">
        <v>81</v>
      </c>
      <c r="G467" s="12" t="s">
        <v>170</v>
      </c>
      <c r="H467" s="12" t="s">
        <v>1494</v>
      </c>
      <c r="I467" s="15" t="s">
        <v>1495</v>
      </c>
    </row>
    <row r="468" customFormat="false" ht="23.85" hidden="false" customHeight="false" outlineLevel="0" collapsed="false">
      <c r="A468" s="12" t="s">
        <v>1604</v>
      </c>
      <c r="B468" s="13" t="s">
        <v>367</v>
      </c>
      <c r="C468" s="13" t="s">
        <v>1186</v>
      </c>
      <c r="D468" s="13"/>
      <c r="E468" s="13"/>
      <c r="F468" s="12" t="s">
        <v>81</v>
      </c>
      <c r="G468" s="12" t="s">
        <v>170</v>
      </c>
      <c r="H468" s="12" t="s">
        <v>1494</v>
      </c>
      <c r="I468" s="15" t="s">
        <v>1495</v>
      </c>
    </row>
    <row r="469" customFormat="false" ht="23.85" hidden="false" customHeight="false" outlineLevel="0" collapsed="false">
      <c r="A469" s="12" t="s">
        <v>1605</v>
      </c>
      <c r="B469" s="13" t="s">
        <v>316</v>
      </c>
      <c r="C469" s="13" t="s">
        <v>1186</v>
      </c>
      <c r="D469" s="13"/>
      <c r="E469" s="13"/>
      <c r="F469" s="12" t="s">
        <v>81</v>
      </c>
      <c r="G469" s="12" t="s">
        <v>170</v>
      </c>
      <c r="H469" s="12" t="s">
        <v>1494</v>
      </c>
      <c r="I469" s="15" t="s">
        <v>1495</v>
      </c>
    </row>
    <row r="470" customFormat="false" ht="23.85" hidden="false" customHeight="false" outlineLevel="0" collapsed="false">
      <c r="A470" s="12" t="s">
        <v>1606</v>
      </c>
      <c r="B470" s="13" t="s">
        <v>256</v>
      </c>
      <c r="C470" s="13"/>
      <c r="D470" s="13" t="s">
        <v>1186</v>
      </c>
      <c r="E470" s="13"/>
      <c r="F470" s="12" t="s">
        <v>82</v>
      </c>
      <c r="G470" s="12" t="s">
        <v>170</v>
      </c>
      <c r="H470" s="12" t="s">
        <v>1494</v>
      </c>
      <c r="I470" s="15" t="s">
        <v>1495</v>
      </c>
    </row>
    <row r="471" customFormat="false" ht="23.85" hidden="false" customHeight="false" outlineLevel="0" collapsed="false">
      <c r="A471" s="12" t="s">
        <v>1606</v>
      </c>
      <c r="B471" s="13" t="s">
        <v>367</v>
      </c>
      <c r="C471" s="13"/>
      <c r="D471" s="13"/>
      <c r="E471" s="13" t="s">
        <v>1186</v>
      </c>
      <c r="F471" s="12" t="s">
        <v>83</v>
      </c>
      <c r="G471" s="12" t="s">
        <v>170</v>
      </c>
      <c r="H471" s="12" t="s">
        <v>1494</v>
      </c>
      <c r="I471" s="15" t="s">
        <v>1495</v>
      </c>
    </row>
    <row r="472" customFormat="false" ht="23.85" hidden="false" customHeight="false" outlineLevel="0" collapsed="false">
      <c r="A472" s="12" t="s">
        <v>1606</v>
      </c>
      <c r="B472" s="13" t="s">
        <v>381</v>
      </c>
      <c r="C472" s="13"/>
      <c r="D472" s="13" t="s">
        <v>1186</v>
      </c>
      <c r="E472" s="13"/>
      <c r="F472" s="12" t="s">
        <v>82</v>
      </c>
      <c r="G472" s="12" t="s">
        <v>170</v>
      </c>
      <c r="H472" s="12" t="s">
        <v>1494</v>
      </c>
      <c r="I472" s="15" t="s">
        <v>1495</v>
      </c>
    </row>
    <row r="473" customFormat="false" ht="23.85" hidden="false" customHeight="false" outlineLevel="0" collapsed="false">
      <c r="A473" s="12" t="s">
        <v>1607</v>
      </c>
      <c r="B473" s="13" t="s">
        <v>249</v>
      </c>
      <c r="C473" s="13"/>
      <c r="D473" s="13"/>
      <c r="E473" s="13" t="s">
        <v>1186</v>
      </c>
      <c r="F473" s="12" t="s">
        <v>83</v>
      </c>
      <c r="G473" s="12" t="s">
        <v>170</v>
      </c>
      <c r="H473" s="12" t="s">
        <v>1494</v>
      </c>
      <c r="I473" s="15" t="s">
        <v>1495</v>
      </c>
    </row>
    <row r="474" customFormat="false" ht="23.85" hidden="false" customHeight="false" outlineLevel="0" collapsed="false">
      <c r="A474" s="12" t="s">
        <v>1607</v>
      </c>
      <c r="B474" s="13" t="s">
        <v>1511</v>
      </c>
      <c r="C474" s="13"/>
      <c r="D474" s="13"/>
      <c r="E474" s="13" t="s">
        <v>1186</v>
      </c>
      <c r="F474" s="12" t="s">
        <v>83</v>
      </c>
      <c r="G474" s="12" t="s">
        <v>170</v>
      </c>
      <c r="H474" s="12" t="s">
        <v>1494</v>
      </c>
      <c r="I474" s="15" t="s">
        <v>1495</v>
      </c>
    </row>
    <row r="475" customFormat="false" ht="23.85" hidden="false" customHeight="false" outlineLevel="0" collapsed="false">
      <c r="A475" s="12" t="s">
        <v>1607</v>
      </c>
      <c r="B475" s="13" t="s">
        <v>256</v>
      </c>
      <c r="C475" s="13" t="s">
        <v>1186</v>
      </c>
      <c r="D475" s="13"/>
      <c r="E475" s="13" t="s">
        <v>1186</v>
      </c>
      <c r="F475" s="12" t="s">
        <v>1499</v>
      </c>
      <c r="G475" s="12" t="s">
        <v>170</v>
      </c>
      <c r="H475" s="12" t="s">
        <v>1494</v>
      </c>
      <c r="I475" s="15" t="s">
        <v>1495</v>
      </c>
    </row>
    <row r="476" customFormat="false" ht="23.85" hidden="false" customHeight="false" outlineLevel="0" collapsed="false">
      <c r="A476" s="12" t="s">
        <v>1607</v>
      </c>
      <c r="B476" s="13" t="s">
        <v>1501</v>
      </c>
      <c r="C476" s="13"/>
      <c r="D476" s="13"/>
      <c r="E476" s="13" t="s">
        <v>1186</v>
      </c>
      <c r="F476" s="12" t="s">
        <v>83</v>
      </c>
      <c r="G476" s="12" t="s">
        <v>170</v>
      </c>
      <c r="H476" s="12" t="s">
        <v>1494</v>
      </c>
      <c r="I476" s="15" t="s">
        <v>1495</v>
      </c>
    </row>
    <row r="477" customFormat="false" ht="23.85" hidden="false" customHeight="false" outlineLevel="0" collapsed="false">
      <c r="A477" s="12" t="s">
        <v>1607</v>
      </c>
      <c r="B477" s="13" t="s">
        <v>1512</v>
      </c>
      <c r="C477" s="13"/>
      <c r="D477" s="13"/>
      <c r="E477" s="13" t="s">
        <v>1186</v>
      </c>
      <c r="F477" s="12" t="s">
        <v>83</v>
      </c>
      <c r="G477" s="12" t="s">
        <v>170</v>
      </c>
      <c r="H477" s="12" t="s">
        <v>1494</v>
      </c>
      <c r="I477" s="15" t="s">
        <v>1495</v>
      </c>
    </row>
    <row r="478" customFormat="false" ht="23.85" hidden="false" customHeight="false" outlineLevel="0" collapsed="false">
      <c r="A478" s="12" t="s">
        <v>1607</v>
      </c>
      <c r="B478" s="13" t="s">
        <v>442</v>
      </c>
      <c r="C478" s="13"/>
      <c r="D478" s="13"/>
      <c r="E478" s="13" t="s">
        <v>1186</v>
      </c>
      <c r="F478" s="12" t="s">
        <v>83</v>
      </c>
      <c r="G478" s="12" t="s">
        <v>170</v>
      </c>
      <c r="H478" s="12" t="s">
        <v>1494</v>
      </c>
      <c r="I478" s="15" t="s">
        <v>1495</v>
      </c>
    </row>
    <row r="479" customFormat="false" ht="23.85" hidden="false" customHeight="false" outlineLevel="0" collapsed="false">
      <c r="A479" s="12" t="s">
        <v>1607</v>
      </c>
      <c r="B479" s="13" t="s">
        <v>255</v>
      </c>
      <c r="C479" s="13"/>
      <c r="D479" s="13"/>
      <c r="E479" s="13" t="s">
        <v>1186</v>
      </c>
      <c r="F479" s="12" t="s">
        <v>83</v>
      </c>
      <c r="G479" s="12" t="s">
        <v>170</v>
      </c>
      <c r="H479" s="12" t="s">
        <v>1494</v>
      </c>
      <c r="I479" s="15" t="s">
        <v>1495</v>
      </c>
    </row>
    <row r="480" customFormat="false" ht="23.85" hidden="false" customHeight="false" outlineLevel="0" collapsed="false">
      <c r="A480" s="12" t="s">
        <v>1607</v>
      </c>
      <c r="B480" s="13" t="s">
        <v>367</v>
      </c>
      <c r="C480" s="13"/>
      <c r="D480" s="13"/>
      <c r="E480" s="13" t="s">
        <v>1186</v>
      </c>
      <c r="F480" s="12" t="s">
        <v>83</v>
      </c>
      <c r="G480" s="12" t="s">
        <v>170</v>
      </c>
      <c r="H480" s="12" t="s">
        <v>1494</v>
      </c>
      <c r="I480" s="15" t="s">
        <v>1495</v>
      </c>
    </row>
    <row r="481" customFormat="false" ht="23.85" hidden="false" customHeight="false" outlineLevel="0" collapsed="false">
      <c r="A481" s="12" t="s">
        <v>1607</v>
      </c>
      <c r="B481" s="13" t="s">
        <v>377</v>
      </c>
      <c r="C481" s="13"/>
      <c r="D481" s="13"/>
      <c r="E481" s="13" t="s">
        <v>1186</v>
      </c>
      <c r="F481" s="12" t="s">
        <v>83</v>
      </c>
      <c r="G481" s="12" t="s">
        <v>170</v>
      </c>
      <c r="H481" s="12" t="s">
        <v>1494</v>
      </c>
      <c r="I481" s="15" t="s">
        <v>1495</v>
      </c>
    </row>
    <row r="482" customFormat="false" ht="23.85" hidden="false" customHeight="false" outlineLevel="0" collapsed="false">
      <c r="A482" s="12" t="s">
        <v>1607</v>
      </c>
      <c r="B482" s="13" t="s">
        <v>381</v>
      </c>
      <c r="C482" s="13"/>
      <c r="D482" s="13"/>
      <c r="E482" s="13" t="s">
        <v>1186</v>
      </c>
      <c r="F482" s="12" t="s">
        <v>83</v>
      </c>
      <c r="G482" s="12" t="s">
        <v>170</v>
      </c>
      <c r="H482" s="12" t="s">
        <v>1494</v>
      </c>
      <c r="I482" s="15" t="s">
        <v>1495</v>
      </c>
    </row>
    <row r="483" customFormat="false" ht="23.85" hidden="false" customHeight="false" outlineLevel="0" collapsed="false">
      <c r="A483" s="12" t="s">
        <v>1607</v>
      </c>
      <c r="B483" s="13" t="s">
        <v>316</v>
      </c>
      <c r="C483" s="13" t="s">
        <v>1186</v>
      </c>
      <c r="D483" s="13"/>
      <c r="E483" s="13" t="s">
        <v>1186</v>
      </c>
      <c r="F483" s="12" t="s">
        <v>1499</v>
      </c>
      <c r="G483" s="12" t="s">
        <v>170</v>
      </c>
      <c r="H483" s="12" t="s">
        <v>1494</v>
      </c>
      <c r="I483" s="15" t="s">
        <v>1495</v>
      </c>
    </row>
    <row r="484" customFormat="false" ht="23.85" hidden="false" customHeight="false" outlineLevel="0" collapsed="false">
      <c r="A484" s="12" t="s">
        <v>1607</v>
      </c>
      <c r="B484" s="13" t="s">
        <v>1528</v>
      </c>
      <c r="C484" s="13"/>
      <c r="D484" s="13"/>
      <c r="E484" s="13" t="s">
        <v>1186</v>
      </c>
      <c r="F484" s="12" t="s">
        <v>83</v>
      </c>
      <c r="G484" s="12" t="s">
        <v>170</v>
      </c>
      <c r="H484" s="12" t="s">
        <v>1494</v>
      </c>
      <c r="I484" s="15" t="s">
        <v>1495</v>
      </c>
    </row>
    <row r="485" customFormat="false" ht="23.85" hidden="false" customHeight="false" outlineLevel="0" collapsed="false">
      <c r="A485" s="12" t="s">
        <v>1608</v>
      </c>
      <c r="B485" s="13" t="s">
        <v>316</v>
      </c>
      <c r="C485" s="13" t="s">
        <v>1186</v>
      </c>
      <c r="D485" s="13"/>
      <c r="E485" s="13"/>
      <c r="F485" s="12" t="s">
        <v>81</v>
      </c>
      <c r="G485" s="12" t="s">
        <v>170</v>
      </c>
      <c r="H485" s="12" t="s">
        <v>1494</v>
      </c>
      <c r="I485" s="15" t="s">
        <v>1495</v>
      </c>
    </row>
    <row r="486" customFormat="false" ht="23.85" hidden="false" customHeight="false" outlineLevel="0" collapsed="false">
      <c r="A486" s="12" t="s">
        <v>1609</v>
      </c>
      <c r="B486" s="13" t="s">
        <v>442</v>
      </c>
      <c r="C486" s="13"/>
      <c r="D486" s="13" t="s">
        <v>1186</v>
      </c>
      <c r="E486" s="13"/>
      <c r="F486" s="12" t="s">
        <v>82</v>
      </c>
      <c r="G486" s="12" t="s">
        <v>170</v>
      </c>
      <c r="H486" s="12" t="s">
        <v>1494</v>
      </c>
      <c r="I486" s="15" t="s">
        <v>1495</v>
      </c>
    </row>
    <row r="487" customFormat="false" ht="23.85" hidden="false" customHeight="false" outlineLevel="0" collapsed="false">
      <c r="A487" s="12" t="s">
        <v>1610</v>
      </c>
      <c r="B487" s="13" t="s">
        <v>445</v>
      </c>
      <c r="C487" s="13"/>
      <c r="D487" s="13" t="s">
        <v>1186</v>
      </c>
      <c r="E487" s="13"/>
      <c r="F487" s="12" t="s">
        <v>82</v>
      </c>
      <c r="G487" s="12" t="s">
        <v>170</v>
      </c>
      <c r="H487" s="12" t="s">
        <v>1494</v>
      </c>
      <c r="I487" s="15" t="s">
        <v>1495</v>
      </c>
    </row>
    <row r="488" customFormat="false" ht="23.85" hidden="false" customHeight="false" outlineLevel="0" collapsed="false">
      <c r="A488" s="12" t="s">
        <v>1611</v>
      </c>
      <c r="B488" s="13" t="s">
        <v>256</v>
      </c>
      <c r="C488" s="13" t="s">
        <v>1186</v>
      </c>
      <c r="D488" s="13"/>
      <c r="E488" s="13"/>
      <c r="F488" s="12" t="s">
        <v>81</v>
      </c>
      <c r="G488" s="12" t="s">
        <v>170</v>
      </c>
      <c r="H488" s="12" t="s">
        <v>1494</v>
      </c>
      <c r="I488" s="15" t="s">
        <v>1495</v>
      </c>
    </row>
    <row r="489" customFormat="false" ht="23.85" hidden="false" customHeight="false" outlineLevel="0" collapsed="false">
      <c r="A489" s="12" t="s">
        <v>1612</v>
      </c>
      <c r="B489" s="13" t="s">
        <v>381</v>
      </c>
      <c r="C489" s="13"/>
      <c r="D489" s="13" t="s">
        <v>1186</v>
      </c>
      <c r="E489" s="13"/>
      <c r="F489" s="12" t="s">
        <v>82</v>
      </c>
      <c r="G489" s="12" t="s">
        <v>170</v>
      </c>
      <c r="H489" s="12" t="s">
        <v>1494</v>
      </c>
      <c r="I489" s="15" t="s">
        <v>1495</v>
      </c>
    </row>
    <row r="490" customFormat="false" ht="23.85" hidden="false" customHeight="false" outlineLevel="0" collapsed="false">
      <c r="A490" s="12" t="s">
        <v>1613</v>
      </c>
      <c r="B490" s="13" t="s">
        <v>249</v>
      </c>
      <c r="C490" s="13" t="s">
        <v>1186</v>
      </c>
      <c r="D490" s="13"/>
      <c r="E490" s="13"/>
      <c r="F490" s="12" t="s">
        <v>81</v>
      </c>
      <c r="G490" s="12" t="s">
        <v>170</v>
      </c>
      <c r="H490" s="12" t="s">
        <v>1494</v>
      </c>
      <c r="I490" s="15" t="s">
        <v>1495</v>
      </c>
    </row>
    <row r="491" customFormat="false" ht="23.85" hidden="false" customHeight="false" outlineLevel="0" collapsed="false">
      <c r="A491" s="12" t="s">
        <v>1613</v>
      </c>
      <c r="B491" s="13" t="s">
        <v>442</v>
      </c>
      <c r="C491" s="13" t="s">
        <v>1186</v>
      </c>
      <c r="D491" s="13"/>
      <c r="E491" s="13"/>
      <c r="F491" s="12" t="s">
        <v>81</v>
      </c>
      <c r="G491" s="12" t="s">
        <v>170</v>
      </c>
      <c r="H491" s="12" t="s">
        <v>1494</v>
      </c>
      <c r="I491" s="15" t="s">
        <v>1495</v>
      </c>
    </row>
    <row r="492" customFormat="false" ht="23.85" hidden="false" customHeight="false" outlineLevel="0" collapsed="false">
      <c r="A492" s="12" t="s">
        <v>1614</v>
      </c>
      <c r="B492" s="13" t="s">
        <v>381</v>
      </c>
      <c r="C492" s="13"/>
      <c r="D492" s="13"/>
      <c r="E492" s="13" t="s">
        <v>1186</v>
      </c>
      <c r="F492" s="12" t="s">
        <v>83</v>
      </c>
      <c r="G492" s="12" t="s">
        <v>170</v>
      </c>
      <c r="H492" s="12" t="s">
        <v>1494</v>
      </c>
      <c r="I492" s="15" t="s">
        <v>1495</v>
      </c>
    </row>
    <row r="493" customFormat="false" ht="23.85" hidden="false" customHeight="false" outlineLevel="0" collapsed="false">
      <c r="A493" s="12" t="s">
        <v>1615</v>
      </c>
      <c r="B493" s="13" t="s">
        <v>249</v>
      </c>
      <c r="C493" s="13"/>
      <c r="D493" s="13" t="s">
        <v>1186</v>
      </c>
      <c r="E493" s="13"/>
      <c r="F493" s="12" t="s">
        <v>82</v>
      </c>
      <c r="G493" s="12" t="s">
        <v>170</v>
      </c>
      <c r="H493" s="12" t="s">
        <v>1494</v>
      </c>
      <c r="I493" s="15" t="s">
        <v>1495</v>
      </c>
    </row>
    <row r="494" customFormat="false" ht="23.85" hidden="false" customHeight="false" outlineLevel="0" collapsed="false">
      <c r="A494" s="12" t="s">
        <v>1615</v>
      </c>
      <c r="B494" s="13" t="s">
        <v>256</v>
      </c>
      <c r="C494" s="13"/>
      <c r="D494" s="13" t="s">
        <v>1186</v>
      </c>
      <c r="E494" s="13"/>
      <c r="F494" s="12" t="s">
        <v>82</v>
      </c>
      <c r="G494" s="12" t="s">
        <v>170</v>
      </c>
      <c r="H494" s="12" t="s">
        <v>1494</v>
      </c>
      <c r="I494" s="15" t="s">
        <v>1495</v>
      </c>
    </row>
    <row r="495" customFormat="false" ht="23.85" hidden="false" customHeight="false" outlineLevel="0" collapsed="false">
      <c r="A495" s="12" t="s">
        <v>1615</v>
      </c>
      <c r="B495" s="13" t="s">
        <v>1501</v>
      </c>
      <c r="C495" s="13"/>
      <c r="D495" s="13" t="s">
        <v>1186</v>
      </c>
      <c r="E495" s="13"/>
      <c r="F495" s="12" t="s">
        <v>82</v>
      </c>
      <c r="G495" s="12" t="s">
        <v>170</v>
      </c>
      <c r="H495" s="12" t="s">
        <v>1494</v>
      </c>
      <c r="I495" s="15" t="s">
        <v>1495</v>
      </c>
    </row>
    <row r="496" customFormat="false" ht="23.85" hidden="false" customHeight="false" outlineLevel="0" collapsed="false">
      <c r="A496" s="12" t="s">
        <v>1615</v>
      </c>
      <c r="B496" s="13" t="s">
        <v>300</v>
      </c>
      <c r="C496" s="13"/>
      <c r="D496" s="13"/>
      <c r="E496" s="13" t="s">
        <v>1186</v>
      </c>
      <c r="F496" s="12" t="s">
        <v>83</v>
      </c>
      <c r="G496" s="12" t="s">
        <v>170</v>
      </c>
      <c r="H496" s="12" t="s">
        <v>1494</v>
      </c>
      <c r="I496" s="15" t="s">
        <v>1495</v>
      </c>
    </row>
    <row r="497" customFormat="false" ht="23.85" hidden="false" customHeight="false" outlineLevel="0" collapsed="false">
      <c r="A497" s="12" t="s">
        <v>1615</v>
      </c>
      <c r="B497" s="13" t="s">
        <v>1512</v>
      </c>
      <c r="C497" s="13"/>
      <c r="D497" s="13" t="s">
        <v>1186</v>
      </c>
      <c r="E497" s="13"/>
      <c r="F497" s="12" t="s">
        <v>82</v>
      </c>
      <c r="G497" s="12" t="s">
        <v>170</v>
      </c>
      <c r="H497" s="12" t="s">
        <v>1494</v>
      </c>
      <c r="I497" s="15" t="s">
        <v>1495</v>
      </c>
    </row>
    <row r="498" customFormat="false" ht="23.85" hidden="false" customHeight="false" outlineLevel="0" collapsed="false">
      <c r="A498" s="12" t="s">
        <v>1615</v>
      </c>
      <c r="B498" s="13" t="s">
        <v>442</v>
      </c>
      <c r="C498" s="13"/>
      <c r="D498" s="13" t="s">
        <v>1186</v>
      </c>
      <c r="E498" s="13"/>
      <c r="F498" s="12" t="s">
        <v>82</v>
      </c>
      <c r="G498" s="12" t="s">
        <v>170</v>
      </c>
      <c r="H498" s="12" t="s">
        <v>1494</v>
      </c>
      <c r="I498" s="15" t="s">
        <v>1495</v>
      </c>
    </row>
    <row r="499" customFormat="false" ht="23.85" hidden="false" customHeight="false" outlineLevel="0" collapsed="false">
      <c r="A499" s="12" t="s">
        <v>1615</v>
      </c>
      <c r="B499" s="13" t="s">
        <v>1513</v>
      </c>
      <c r="C499" s="13"/>
      <c r="D499" s="13" t="s">
        <v>1186</v>
      </c>
      <c r="E499" s="13"/>
      <c r="F499" s="12" t="s">
        <v>82</v>
      </c>
      <c r="G499" s="12" t="s">
        <v>170</v>
      </c>
      <c r="H499" s="12" t="s">
        <v>1494</v>
      </c>
      <c r="I499" s="15" t="s">
        <v>1495</v>
      </c>
    </row>
    <row r="500" customFormat="false" ht="23.85" hidden="false" customHeight="false" outlineLevel="0" collapsed="false">
      <c r="A500" s="12" t="s">
        <v>1615</v>
      </c>
      <c r="B500" s="13" t="s">
        <v>367</v>
      </c>
      <c r="C500" s="13"/>
      <c r="D500" s="13" t="s">
        <v>1186</v>
      </c>
      <c r="E500" s="13"/>
      <c r="F500" s="12" t="s">
        <v>82</v>
      </c>
      <c r="G500" s="12" t="s">
        <v>170</v>
      </c>
      <c r="H500" s="12" t="s">
        <v>1494</v>
      </c>
      <c r="I500" s="15" t="s">
        <v>1495</v>
      </c>
    </row>
    <row r="501" customFormat="false" ht="23.85" hidden="false" customHeight="false" outlineLevel="0" collapsed="false">
      <c r="A501" s="12" t="s">
        <v>1615</v>
      </c>
      <c r="B501" s="13" t="s">
        <v>377</v>
      </c>
      <c r="C501" s="13"/>
      <c r="D501" s="13" t="s">
        <v>1186</v>
      </c>
      <c r="E501" s="13"/>
      <c r="F501" s="12" t="s">
        <v>82</v>
      </c>
      <c r="G501" s="12" t="s">
        <v>170</v>
      </c>
      <c r="H501" s="12" t="s">
        <v>1494</v>
      </c>
      <c r="I501" s="15" t="s">
        <v>1495</v>
      </c>
    </row>
    <row r="502" customFormat="false" ht="23.85" hidden="false" customHeight="false" outlineLevel="0" collapsed="false">
      <c r="A502" s="12" t="s">
        <v>1615</v>
      </c>
      <c r="B502" s="13" t="s">
        <v>305</v>
      </c>
      <c r="C502" s="13"/>
      <c r="D502" s="13" t="s">
        <v>1186</v>
      </c>
      <c r="E502" s="13"/>
      <c r="F502" s="12" t="s">
        <v>82</v>
      </c>
      <c r="G502" s="12" t="s">
        <v>170</v>
      </c>
      <c r="H502" s="12" t="s">
        <v>1494</v>
      </c>
      <c r="I502" s="15" t="s">
        <v>1495</v>
      </c>
    </row>
    <row r="503" customFormat="false" ht="23.85" hidden="false" customHeight="false" outlineLevel="0" collapsed="false">
      <c r="A503" s="12" t="s">
        <v>1615</v>
      </c>
      <c r="B503" s="13" t="s">
        <v>381</v>
      </c>
      <c r="C503" s="13"/>
      <c r="D503" s="13" t="s">
        <v>1186</v>
      </c>
      <c r="E503" s="13"/>
      <c r="F503" s="12" t="s">
        <v>82</v>
      </c>
      <c r="G503" s="12" t="s">
        <v>170</v>
      </c>
      <c r="H503" s="12" t="s">
        <v>1494</v>
      </c>
      <c r="I503" s="15" t="s">
        <v>1495</v>
      </c>
    </row>
    <row r="504" customFormat="false" ht="23.85" hidden="false" customHeight="false" outlineLevel="0" collapsed="false">
      <c r="A504" s="12" t="s">
        <v>1615</v>
      </c>
      <c r="B504" s="13" t="s">
        <v>1529</v>
      </c>
      <c r="C504" s="13"/>
      <c r="D504" s="13" t="s">
        <v>1186</v>
      </c>
      <c r="E504" s="13"/>
      <c r="F504" s="12" t="s">
        <v>82</v>
      </c>
      <c r="G504" s="12" t="s">
        <v>170</v>
      </c>
      <c r="H504" s="12" t="s">
        <v>1494</v>
      </c>
      <c r="I504" s="15" t="s">
        <v>1495</v>
      </c>
    </row>
    <row r="505" customFormat="false" ht="23.85" hidden="false" customHeight="false" outlineLevel="0" collapsed="false">
      <c r="A505" s="12" t="s">
        <v>1616</v>
      </c>
      <c r="B505" s="13" t="s">
        <v>1507</v>
      </c>
      <c r="C505" s="13" t="s">
        <v>1186</v>
      </c>
      <c r="D505" s="13"/>
      <c r="E505" s="13"/>
      <c r="F505" s="12" t="s">
        <v>81</v>
      </c>
      <c r="G505" s="12" t="s">
        <v>170</v>
      </c>
      <c r="H505" s="12" t="s">
        <v>1494</v>
      </c>
      <c r="I505" s="15" t="s">
        <v>1495</v>
      </c>
    </row>
    <row r="506" customFormat="false" ht="23.85" hidden="false" customHeight="false" outlineLevel="0" collapsed="false">
      <c r="A506" s="12" t="s">
        <v>1616</v>
      </c>
      <c r="B506" s="13" t="s">
        <v>1501</v>
      </c>
      <c r="C506" s="13" t="s">
        <v>1186</v>
      </c>
      <c r="D506" s="13"/>
      <c r="E506" s="13"/>
      <c r="F506" s="12" t="s">
        <v>81</v>
      </c>
      <c r="G506" s="12" t="s">
        <v>170</v>
      </c>
      <c r="H506" s="12" t="s">
        <v>1494</v>
      </c>
      <c r="I506" s="15" t="s">
        <v>1495</v>
      </c>
    </row>
    <row r="507" customFormat="false" ht="23.85" hidden="false" customHeight="false" outlineLevel="0" collapsed="false">
      <c r="A507" s="12" t="s">
        <v>1616</v>
      </c>
      <c r="B507" s="13" t="s">
        <v>255</v>
      </c>
      <c r="C507" s="13" t="s">
        <v>1186</v>
      </c>
      <c r="D507" s="13"/>
      <c r="E507" s="13"/>
      <c r="F507" s="12" t="s">
        <v>81</v>
      </c>
      <c r="G507" s="12" t="s">
        <v>170</v>
      </c>
      <c r="H507" s="12" t="s">
        <v>1494</v>
      </c>
      <c r="I507" s="15" t="s">
        <v>1495</v>
      </c>
    </row>
    <row r="508" customFormat="false" ht="23.85" hidden="false" customHeight="false" outlineLevel="0" collapsed="false">
      <c r="A508" s="12" t="s">
        <v>1616</v>
      </c>
      <c r="B508" s="13" t="s">
        <v>1515</v>
      </c>
      <c r="C508" s="13" t="s">
        <v>1186</v>
      </c>
      <c r="D508" s="13"/>
      <c r="E508" s="13"/>
      <c r="F508" s="12" t="s">
        <v>81</v>
      </c>
      <c r="G508" s="12" t="s">
        <v>170</v>
      </c>
      <c r="H508" s="12" t="s">
        <v>1494</v>
      </c>
      <c r="I508" s="15" t="s">
        <v>1495</v>
      </c>
    </row>
    <row r="509" customFormat="false" ht="23.85" hidden="false" customHeight="false" outlineLevel="0" collapsed="false">
      <c r="A509" s="12" t="s">
        <v>1616</v>
      </c>
      <c r="B509" s="13" t="s">
        <v>367</v>
      </c>
      <c r="C509" s="13" t="s">
        <v>1186</v>
      </c>
      <c r="D509" s="13"/>
      <c r="E509" s="13"/>
      <c r="F509" s="12" t="s">
        <v>81</v>
      </c>
      <c r="G509" s="12" t="s">
        <v>170</v>
      </c>
      <c r="H509" s="12" t="s">
        <v>1494</v>
      </c>
      <c r="I509" s="15" t="s">
        <v>1495</v>
      </c>
    </row>
    <row r="510" customFormat="false" ht="23.85" hidden="false" customHeight="false" outlineLevel="0" collapsed="false">
      <c r="A510" s="12" t="s">
        <v>1616</v>
      </c>
      <c r="B510" s="13" t="s">
        <v>377</v>
      </c>
      <c r="C510" s="13" t="s">
        <v>1186</v>
      </c>
      <c r="D510" s="13"/>
      <c r="E510" s="13"/>
      <c r="F510" s="12" t="s">
        <v>81</v>
      </c>
      <c r="G510" s="12" t="s">
        <v>170</v>
      </c>
      <c r="H510" s="12" t="s">
        <v>1494</v>
      </c>
      <c r="I510" s="15" t="s">
        <v>1495</v>
      </c>
    </row>
    <row r="511" customFormat="false" ht="23.85" hidden="false" customHeight="false" outlineLevel="0" collapsed="false">
      <c r="A511" s="12" t="s">
        <v>1616</v>
      </c>
      <c r="B511" s="13" t="s">
        <v>305</v>
      </c>
      <c r="C511" s="13" t="s">
        <v>1186</v>
      </c>
      <c r="D511" s="13"/>
      <c r="E511" s="13" t="s">
        <v>1186</v>
      </c>
      <c r="F511" s="12" t="s">
        <v>1499</v>
      </c>
      <c r="G511" s="12" t="s">
        <v>170</v>
      </c>
      <c r="H511" s="12" t="s">
        <v>1494</v>
      </c>
      <c r="I511" s="15" t="s">
        <v>1495</v>
      </c>
    </row>
    <row r="512" customFormat="false" ht="23.85" hidden="false" customHeight="false" outlineLevel="0" collapsed="false">
      <c r="A512" s="12" t="s">
        <v>1616</v>
      </c>
      <c r="B512" s="13" t="s">
        <v>381</v>
      </c>
      <c r="C512" s="13" t="s">
        <v>1186</v>
      </c>
      <c r="D512" s="13"/>
      <c r="E512" s="13"/>
      <c r="F512" s="12" t="s">
        <v>81</v>
      </c>
      <c r="G512" s="12" t="s">
        <v>170</v>
      </c>
      <c r="H512" s="12" t="s">
        <v>1494</v>
      </c>
      <c r="I512" s="15" t="s">
        <v>1495</v>
      </c>
    </row>
    <row r="513" customFormat="false" ht="23.85" hidden="false" customHeight="false" outlineLevel="0" collapsed="false">
      <c r="A513" s="12" t="s">
        <v>1617</v>
      </c>
      <c r="B513" s="13" t="s">
        <v>256</v>
      </c>
      <c r="C513" s="13" t="s">
        <v>1186</v>
      </c>
      <c r="D513" s="13"/>
      <c r="E513" s="13"/>
      <c r="F513" s="12" t="s">
        <v>81</v>
      </c>
      <c r="G513" s="12" t="s">
        <v>170</v>
      </c>
      <c r="H513" s="12" t="s">
        <v>1494</v>
      </c>
      <c r="I513" s="15" t="s">
        <v>1495</v>
      </c>
    </row>
    <row r="514" customFormat="false" ht="23.85" hidden="false" customHeight="false" outlineLevel="0" collapsed="false">
      <c r="A514" s="12" t="s">
        <v>1617</v>
      </c>
      <c r="B514" s="13" t="s">
        <v>442</v>
      </c>
      <c r="C514" s="13" t="s">
        <v>1186</v>
      </c>
      <c r="D514" s="13"/>
      <c r="E514" s="13"/>
      <c r="F514" s="12" t="s">
        <v>81</v>
      </c>
      <c r="G514" s="12" t="s">
        <v>170</v>
      </c>
      <c r="H514" s="12" t="s">
        <v>1494</v>
      </c>
      <c r="I514" s="15" t="s">
        <v>1495</v>
      </c>
    </row>
    <row r="515" customFormat="false" ht="23.85" hidden="false" customHeight="false" outlineLevel="0" collapsed="false">
      <c r="A515" s="12" t="s">
        <v>1617</v>
      </c>
      <c r="B515" s="13" t="s">
        <v>445</v>
      </c>
      <c r="C515" s="13" t="s">
        <v>1186</v>
      </c>
      <c r="D515" s="13"/>
      <c r="E515" s="13"/>
      <c r="F515" s="12" t="s">
        <v>81</v>
      </c>
      <c r="G515" s="12" t="s">
        <v>170</v>
      </c>
      <c r="H515" s="12" t="s">
        <v>1494</v>
      </c>
      <c r="I515" s="15" t="s">
        <v>1495</v>
      </c>
    </row>
    <row r="516" customFormat="false" ht="23.85" hidden="false" customHeight="false" outlineLevel="0" collapsed="false">
      <c r="A516" s="12" t="s">
        <v>286</v>
      </c>
      <c r="B516" s="13" t="s">
        <v>1512</v>
      </c>
      <c r="C516" s="13"/>
      <c r="D516" s="13"/>
      <c r="E516" s="13" t="s">
        <v>1186</v>
      </c>
      <c r="F516" s="12" t="s">
        <v>83</v>
      </c>
      <c r="G516" s="12" t="s">
        <v>170</v>
      </c>
      <c r="H516" s="12" t="s">
        <v>1494</v>
      </c>
      <c r="I516" s="15" t="s">
        <v>1495</v>
      </c>
    </row>
    <row r="517" customFormat="false" ht="23.85" hidden="false" customHeight="false" outlineLevel="0" collapsed="false">
      <c r="A517" s="12" t="s">
        <v>286</v>
      </c>
      <c r="B517" s="13" t="s">
        <v>1513</v>
      </c>
      <c r="C517" s="13"/>
      <c r="D517" s="13"/>
      <c r="E517" s="13" t="s">
        <v>1186</v>
      </c>
      <c r="F517" s="12" t="s">
        <v>83</v>
      </c>
      <c r="G517" s="12" t="s">
        <v>170</v>
      </c>
      <c r="H517" s="12" t="s">
        <v>1494</v>
      </c>
      <c r="I517" s="15" t="s">
        <v>1495</v>
      </c>
    </row>
    <row r="518" customFormat="false" ht="23.85" hidden="false" customHeight="false" outlineLevel="0" collapsed="false">
      <c r="A518" s="12" t="s">
        <v>1618</v>
      </c>
      <c r="B518" s="13" t="s">
        <v>256</v>
      </c>
      <c r="C518" s="13"/>
      <c r="D518" s="13"/>
      <c r="E518" s="13" t="s">
        <v>1186</v>
      </c>
      <c r="F518" s="12" t="s">
        <v>83</v>
      </c>
      <c r="G518" s="12" t="s">
        <v>170</v>
      </c>
      <c r="H518" s="12" t="s">
        <v>1494</v>
      </c>
      <c r="I518" s="15" t="s">
        <v>1495</v>
      </c>
    </row>
    <row r="519" customFormat="false" ht="23.85" hidden="false" customHeight="false" outlineLevel="0" collapsed="false">
      <c r="A519" s="12" t="s">
        <v>1619</v>
      </c>
      <c r="B519" s="13" t="s">
        <v>1503</v>
      </c>
      <c r="C519" s="13"/>
      <c r="D519" s="13" t="s">
        <v>1186</v>
      </c>
      <c r="E519" s="13"/>
      <c r="F519" s="12" t="s">
        <v>82</v>
      </c>
      <c r="G519" s="12" t="s">
        <v>170</v>
      </c>
      <c r="H519" s="12" t="s">
        <v>1494</v>
      </c>
      <c r="I519" s="15" t="s">
        <v>1495</v>
      </c>
    </row>
    <row r="520" customFormat="false" ht="23.85" hidden="false" customHeight="false" outlineLevel="0" collapsed="false">
      <c r="A520" s="12" t="s">
        <v>1620</v>
      </c>
      <c r="B520" s="13" t="s">
        <v>249</v>
      </c>
      <c r="C520" s="13" t="s">
        <v>1186</v>
      </c>
      <c r="D520" s="13"/>
      <c r="E520" s="13"/>
      <c r="F520" s="12" t="s">
        <v>81</v>
      </c>
      <c r="G520" s="12" t="s">
        <v>170</v>
      </c>
      <c r="H520" s="12" t="s">
        <v>1494</v>
      </c>
      <c r="I520" s="15" t="s">
        <v>1495</v>
      </c>
    </row>
    <row r="521" customFormat="false" ht="23.85" hidden="false" customHeight="false" outlineLevel="0" collapsed="false">
      <c r="A521" s="12" t="s">
        <v>1620</v>
      </c>
      <c r="B521" s="13" t="s">
        <v>442</v>
      </c>
      <c r="C521" s="13" t="s">
        <v>1186</v>
      </c>
      <c r="D521" s="13"/>
      <c r="E521" s="13"/>
      <c r="F521" s="12" t="s">
        <v>81</v>
      </c>
      <c r="G521" s="12" t="s">
        <v>170</v>
      </c>
      <c r="H521" s="12" t="s">
        <v>1494</v>
      </c>
      <c r="I521" s="15" t="s">
        <v>1495</v>
      </c>
    </row>
    <row r="522" customFormat="false" ht="23.85" hidden="false" customHeight="false" outlineLevel="0" collapsed="false">
      <c r="A522" s="12" t="s">
        <v>1621</v>
      </c>
      <c r="B522" s="13" t="s">
        <v>442</v>
      </c>
      <c r="C522" s="13" t="s">
        <v>1186</v>
      </c>
      <c r="D522" s="13"/>
      <c r="E522" s="13"/>
      <c r="F522" s="12" t="s">
        <v>81</v>
      </c>
      <c r="G522" s="12" t="s">
        <v>170</v>
      </c>
      <c r="H522" s="12" t="s">
        <v>1494</v>
      </c>
      <c r="I522" s="15" t="s">
        <v>1495</v>
      </c>
    </row>
    <row r="523" customFormat="false" ht="23.85" hidden="false" customHeight="false" outlineLevel="0" collapsed="false">
      <c r="A523" s="12" t="s">
        <v>1622</v>
      </c>
      <c r="B523" s="13" t="s">
        <v>442</v>
      </c>
      <c r="C523" s="13" t="s">
        <v>1186</v>
      </c>
      <c r="D523" s="13"/>
      <c r="E523" s="13"/>
      <c r="F523" s="12" t="s">
        <v>81</v>
      </c>
      <c r="G523" s="12" t="s">
        <v>170</v>
      </c>
      <c r="H523" s="12" t="s">
        <v>1494</v>
      </c>
      <c r="I523" s="15" t="s">
        <v>1495</v>
      </c>
    </row>
    <row r="524" customFormat="false" ht="23.85" hidden="false" customHeight="false" outlineLevel="0" collapsed="false">
      <c r="A524" s="12" t="s">
        <v>1623</v>
      </c>
      <c r="B524" s="13" t="s">
        <v>442</v>
      </c>
      <c r="C524" s="13" t="s">
        <v>1186</v>
      </c>
      <c r="D524" s="13"/>
      <c r="E524" s="13"/>
      <c r="F524" s="12" t="s">
        <v>81</v>
      </c>
      <c r="G524" s="12" t="s">
        <v>170</v>
      </c>
      <c r="H524" s="12" t="s">
        <v>1494</v>
      </c>
      <c r="I524" s="15" t="s">
        <v>1495</v>
      </c>
    </row>
    <row r="525" customFormat="false" ht="23.85" hidden="false" customHeight="false" outlineLevel="0" collapsed="false">
      <c r="A525" s="12" t="s">
        <v>1623</v>
      </c>
      <c r="B525" s="13" t="s">
        <v>1519</v>
      </c>
      <c r="C525" s="13" t="s">
        <v>1186</v>
      </c>
      <c r="D525" s="13"/>
      <c r="E525" s="13"/>
      <c r="F525" s="12" t="s">
        <v>81</v>
      </c>
      <c r="G525" s="12" t="s">
        <v>170</v>
      </c>
      <c r="H525" s="12" t="s">
        <v>1494</v>
      </c>
      <c r="I525" s="15" t="s">
        <v>1495</v>
      </c>
    </row>
    <row r="526" customFormat="false" ht="23.85" hidden="false" customHeight="false" outlineLevel="0" collapsed="false">
      <c r="A526" s="12" t="s">
        <v>1623</v>
      </c>
      <c r="B526" s="13" t="s">
        <v>305</v>
      </c>
      <c r="C526" s="13" t="s">
        <v>1186</v>
      </c>
      <c r="D526" s="13"/>
      <c r="E526" s="13"/>
      <c r="F526" s="12" t="s">
        <v>81</v>
      </c>
      <c r="G526" s="12" t="s">
        <v>170</v>
      </c>
      <c r="H526" s="12" t="s">
        <v>1494</v>
      </c>
      <c r="I526" s="15" t="s">
        <v>1495</v>
      </c>
    </row>
    <row r="527" customFormat="false" ht="23.85" hidden="false" customHeight="false" outlineLevel="0" collapsed="false">
      <c r="A527" s="12" t="s">
        <v>1624</v>
      </c>
      <c r="B527" s="13" t="s">
        <v>249</v>
      </c>
      <c r="C527" s="13"/>
      <c r="D527" s="13"/>
      <c r="E527" s="13" t="s">
        <v>1186</v>
      </c>
      <c r="F527" s="12" t="s">
        <v>83</v>
      </c>
      <c r="G527" s="12" t="s">
        <v>170</v>
      </c>
      <c r="H527" s="12" t="s">
        <v>1494</v>
      </c>
      <c r="I527" s="15" t="s">
        <v>1495</v>
      </c>
    </row>
    <row r="528" customFormat="false" ht="23.85" hidden="false" customHeight="false" outlineLevel="0" collapsed="false">
      <c r="A528" s="12" t="s">
        <v>1624</v>
      </c>
      <c r="B528" s="13" t="s">
        <v>256</v>
      </c>
      <c r="C528" s="13"/>
      <c r="D528" s="13"/>
      <c r="E528" s="13" t="s">
        <v>1186</v>
      </c>
      <c r="F528" s="12" t="s">
        <v>83</v>
      </c>
      <c r="G528" s="12" t="s">
        <v>170</v>
      </c>
      <c r="H528" s="12" t="s">
        <v>1494</v>
      </c>
      <c r="I528" s="15" t="s">
        <v>1495</v>
      </c>
    </row>
    <row r="529" customFormat="false" ht="23.85" hidden="false" customHeight="false" outlineLevel="0" collapsed="false">
      <c r="A529" s="12" t="s">
        <v>1624</v>
      </c>
      <c r="B529" s="13" t="s">
        <v>1501</v>
      </c>
      <c r="C529" s="13"/>
      <c r="D529" s="13"/>
      <c r="E529" s="13" t="s">
        <v>1186</v>
      </c>
      <c r="F529" s="12" t="s">
        <v>83</v>
      </c>
      <c r="G529" s="12" t="s">
        <v>170</v>
      </c>
      <c r="H529" s="12" t="s">
        <v>1494</v>
      </c>
      <c r="I529" s="15" t="s">
        <v>1495</v>
      </c>
    </row>
    <row r="530" customFormat="false" ht="23.85" hidden="false" customHeight="false" outlineLevel="0" collapsed="false">
      <c r="A530" s="12" t="s">
        <v>1624</v>
      </c>
      <c r="B530" s="13" t="s">
        <v>300</v>
      </c>
      <c r="C530" s="13"/>
      <c r="D530" s="13"/>
      <c r="E530" s="13" t="s">
        <v>1186</v>
      </c>
      <c r="F530" s="12" t="s">
        <v>83</v>
      </c>
      <c r="G530" s="12" t="s">
        <v>170</v>
      </c>
      <c r="H530" s="12" t="s">
        <v>1494</v>
      </c>
      <c r="I530" s="15" t="s">
        <v>1495</v>
      </c>
    </row>
    <row r="531" customFormat="false" ht="23.85" hidden="false" customHeight="false" outlineLevel="0" collapsed="false">
      <c r="A531" s="12" t="s">
        <v>1624</v>
      </c>
      <c r="B531" s="13" t="s">
        <v>1512</v>
      </c>
      <c r="C531" s="13" t="s">
        <v>1186</v>
      </c>
      <c r="D531" s="13"/>
      <c r="E531" s="13" t="s">
        <v>1186</v>
      </c>
      <c r="F531" s="12" t="s">
        <v>1499</v>
      </c>
      <c r="G531" s="12" t="s">
        <v>170</v>
      </c>
      <c r="H531" s="12" t="s">
        <v>1494</v>
      </c>
      <c r="I531" s="15" t="s">
        <v>1495</v>
      </c>
    </row>
    <row r="532" customFormat="false" ht="23.85" hidden="false" customHeight="false" outlineLevel="0" collapsed="false">
      <c r="A532" s="12" t="s">
        <v>1624</v>
      </c>
      <c r="B532" s="13" t="s">
        <v>442</v>
      </c>
      <c r="C532" s="13"/>
      <c r="D532" s="13"/>
      <c r="E532" s="13" t="s">
        <v>1186</v>
      </c>
      <c r="F532" s="12" t="s">
        <v>83</v>
      </c>
      <c r="G532" s="12" t="s">
        <v>170</v>
      </c>
      <c r="H532" s="12" t="s">
        <v>1494</v>
      </c>
      <c r="I532" s="15" t="s">
        <v>1495</v>
      </c>
    </row>
    <row r="533" customFormat="false" ht="23.85" hidden="false" customHeight="false" outlineLevel="0" collapsed="false">
      <c r="A533" s="12" t="s">
        <v>1624</v>
      </c>
      <c r="B533" s="13" t="s">
        <v>445</v>
      </c>
      <c r="C533" s="13"/>
      <c r="D533" s="13"/>
      <c r="E533" s="13" t="s">
        <v>1186</v>
      </c>
      <c r="F533" s="12" t="s">
        <v>83</v>
      </c>
      <c r="G533" s="12" t="s">
        <v>170</v>
      </c>
      <c r="H533" s="12" t="s">
        <v>1494</v>
      </c>
      <c r="I533" s="15" t="s">
        <v>1495</v>
      </c>
    </row>
    <row r="534" customFormat="false" ht="23.85" hidden="false" customHeight="false" outlineLevel="0" collapsed="false">
      <c r="A534" s="12" t="s">
        <v>1624</v>
      </c>
      <c r="B534" s="13" t="s">
        <v>1513</v>
      </c>
      <c r="C534" s="13"/>
      <c r="D534" s="13"/>
      <c r="E534" s="13" t="s">
        <v>1186</v>
      </c>
      <c r="F534" s="12" t="s">
        <v>83</v>
      </c>
      <c r="G534" s="12" t="s">
        <v>170</v>
      </c>
      <c r="H534" s="12" t="s">
        <v>1494</v>
      </c>
      <c r="I534" s="15" t="s">
        <v>1495</v>
      </c>
    </row>
    <row r="535" customFormat="false" ht="23.85" hidden="false" customHeight="false" outlineLevel="0" collapsed="false">
      <c r="A535" s="12" t="s">
        <v>1624</v>
      </c>
      <c r="B535" s="13" t="s">
        <v>255</v>
      </c>
      <c r="C535" s="13" t="s">
        <v>1186</v>
      </c>
      <c r="D535" s="13"/>
      <c r="E535" s="13"/>
      <c r="F535" s="12" t="s">
        <v>81</v>
      </c>
      <c r="G535" s="12" t="s">
        <v>170</v>
      </c>
      <c r="H535" s="12" t="s">
        <v>1494</v>
      </c>
      <c r="I535" s="15" t="s">
        <v>1495</v>
      </c>
    </row>
    <row r="536" customFormat="false" ht="23.85" hidden="false" customHeight="false" outlineLevel="0" collapsed="false">
      <c r="A536" s="12" t="s">
        <v>1624</v>
      </c>
      <c r="B536" s="13" t="s">
        <v>1498</v>
      </c>
      <c r="C536" s="13"/>
      <c r="D536" s="13"/>
      <c r="E536" s="13" t="s">
        <v>1186</v>
      </c>
      <c r="F536" s="12" t="s">
        <v>83</v>
      </c>
      <c r="G536" s="12" t="s">
        <v>170</v>
      </c>
      <c r="H536" s="12" t="s">
        <v>1494</v>
      </c>
      <c r="I536" s="15" t="s">
        <v>1495</v>
      </c>
    </row>
    <row r="537" customFormat="false" ht="23.85" hidden="false" customHeight="false" outlineLevel="0" collapsed="false">
      <c r="A537" s="12" t="s">
        <v>1624</v>
      </c>
      <c r="B537" s="13" t="s">
        <v>490</v>
      </c>
      <c r="C537" s="13"/>
      <c r="D537" s="13"/>
      <c r="E537" s="13" t="s">
        <v>1186</v>
      </c>
      <c r="F537" s="12" t="s">
        <v>83</v>
      </c>
      <c r="G537" s="12" t="s">
        <v>170</v>
      </c>
      <c r="H537" s="12" t="s">
        <v>1494</v>
      </c>
      <c r="I537" s="15" t="s">
        <v>1495</v>
      </c>
    </row>
    <row r="538" customFormat="false" ht="23.85" hidden="false" customHeight="false" outlineLevel="0" collapsed="false">
      <c r="A538" s="12" t="s">
        <v>1624</v>
      </c>
      <c r="B538" s="13" t="s">
        <v>1519</v>
      </c>
      <c r="C538" s="13" t="s">
        <v>1186</v>
      </c>
      <c r="D538" s="13" t="s">
        <v>1186</v>
      </c>
      <c r="E538" s="13" t="s">
        <v>1186</v>
      </c>
      <c r="F538" s="12" t="s">
        <v>1553</v>
      </c>
      <c r="G538" s="12" t="s">
        <v>170</v>
      </c>
      <c r="H538" s="12" t="s">
        <v>1494</v>
      </c>
      <c r="I538" s="15" t="s">
        <v>1495</v>
      </c>
    </row>
    <row r="539" customFormat="false" ht="23.85" hidden="false" customHeight="false" outlineLevel="0" collapsed="false">
      <c r="A539" s="12" t="s">
        <v>1624</v>
      </c>
      <c r="B539" s="13" t="s">
        <v>367</v>
      </c>
      <c r="C539" s="13" t="s">
        <v>1186</v>
      </c>
      <c r="D539" s="13"/>
      <c r="E539" s="13" t="s">
        <v>1186</v>
      </c>
      <c r="F539" s="12" t="s">
        <v>1499</v>
      </c>
      <c r="G539" s="12" t="s">
        <v>170</v>
      </c>
      <c r="H539" s="12" t="s">
        <v>1494</v>
      </c>
      <c r="I539" s="15" t="s">
        <v>1495</v>
      </c>
    </row>
    <row r="540" customFormat="false" ht="23.85" hidden="false" customHeight="false" outlineLevel="0" collapsed="false">
      <c r="A540" s="12" t="s">
        <v>1624</v>
      </c>
      <c r="B540" s="13" t="s">
        <v>1522</v>
      </c>
      <c r="C540" s="13" t="s">
        <v>1186</v>
      </c>
      <c r="D540" s="13"/>
      <c r="E540" s="13" t="s">
        <v>1186</v>
      </c>
      <c r="F540" s="12" t="s">
        <v>1499</v>
      </c>
      <c r="G540" s="12" t="s">
        <v>170</v>
      </c>
      <c r="H540" s="12" t="s">
        <v>1494</v>
      </c>
      <c r="I540" s="15" t="s">
        <v>1495</v>
      </c>
    </row>
    <row r="541" customFormat="false" ht="23.85" hidden="false" customHeight="false" outlineLevel="0" collapsed="false">
      <c r="A541" s="12" t="s">
        <v>1624</v>
      </c>
      <c r="B541" s="13" t="s">
        <v>377</v>
      </c>
      <c r="C541" s="13" t="s">
        <v>1186</v>
      </c>
      <c r="D541" s="13"/>
      <c r="E541" s="13" t="s">
        <v>1186</v>
      </c>
      <c r="F541" s="12" t="s">
        <v>1499</v>
      </c>
      <c r="G541" s="12" t="s">
        <v>170</v>
      </c>
      <c r="H541" s="12" t="s">
        <v>1494</v>
      </c>
      <c r="I541" s="15" t="s">
        <v>1495</v>
      </c>
    </row>
    <row r="542" customFormat="false" ht="23.85" hidden="false" customHeight="false" outlineLevel="0" collapsed="false">
      <c r="A542" s="12" t="s">
        <v>1624</v>
      </c>
      <c r="B542" s="13" t="s">
        <v>1523</v>
      </c>
      <c r="C542" s="13"/>
      <c r="D542" s="13"/>
      <c r="E542" s="13" t="s">
        <v>1186</v>
      </c>
      <c r="F542" s="12" t="s">
        <v>83</v>
      </c>
      <c r="G542" s="12" t="s">
        <v>170</v>
      </c>
      <c r="H542" s="12" t="s">
        <v>1494</v>
      </c>
      <c r="I542" s="15" t="s">
        <v>1495</v>
      </c>
    </row>
    <row r="543" customFormat="false" ht="23.85" hidden="false" customHeight="false" outlineLevel="0" collapsed="false">
      <c r="A543" s="12" t="s">
        <v>1624</v>
      </c>
      <c r="B543" s="13" t="s">
        <v>305</v>
      </c>
      <c r="C543" s="13" t="s">
        <v>1186</v>
      </c>
      <c r="D543" s="13"/>
      <c r="E543" s="13" t="s">
        <v>1186</v>
      </c>
      <c r="F543" s="12" t="s">
        <v>1499</v>
      </c>
      <c r="G543" s="12" t="s">
        <v>170</v>
      </c>
      <c r="H543" s="12" t="s">
        <v>1494</v>
      </c>
      <c r="I543" s="15" t="s">
        <v>1495</v>
      </c>
    </row>
    <row r="544" customFormat="false" ht="23.85" hidden="false" customHeight="false" outlineLevel="0" collapsed="false">
      <c r="A544" s="12" t="s">
        <v>1624</v>
      </c>
      <c r="B544" s="13" t="s">
        <v>381</v>
      </c>
      <c r="C544" s="13"/>
      <c r="D544" s="13"/>
      <c r="E544" s="13" t="s">
        <v>1186</v>
      </c>
      <c r="F544" s="12" t="s">
        <v>83</v>
      </c>
      <c r="G544" s="12" t="s">
        <v>170</v>
      </c>
      <c r="H544" s="12" t="s">
        <v>1494</v>
      </c>
      <c r="I544" s="15" t="s">
        <v>1495</v>
      </c>
    </row>
    <row r="545" customFormat="false" ht="23.85" hidden="false" customHeight="false" outlineLevel="0" collapsed="false">
      <c r="A545" s="12" t="s">
        <v>1624</v>
      </c>
      <c r="B545" s="13" t="s">
        <v>316</v>
      </c>
      <c r="C545" s="13" t="s">
        <v>1186</v>
      </c>
      <c r="D545" s="13" t="s">
        <v>1186</v>
      </c>
      <c r="E545" s="13" t="s">
        <v>1186</v>
      </c>
      <c r="F545" s="12" t="s">
        <v>1553</v>
      </c>
      <c r="G545" s="12" t="s">
        <v>170</v>
      </c>
      <c r="H545" s="12" t="s">
        <v>1494</v>
      </c>
      <c r="I545" s="15" t="s">
        <v>1495</v>
      </c>
    </row>
    <row r="546" customFormat="false" ht="23.85" hidden="false" customHeight="false" outlineLevel="0" collapsed="false">
      <c r="A546" s="12" t="s">
        <v>1624</v>
      </c>
      <c r="B546" s="13" t="s">
        <v>1528</v>
      </c>
      <c r="C546" s="13" t="s">
        <v>1186</v>
      </c>
      <c r="D546" s="13"/>
      <c r="E546" s="13" t="s">
        <v>1186</v>
      </c>
      <c r="F546" s="12" t="s">
        <v>1499</v>
      </c>
      <c r="G546" s="12" t="s">
        <v>170</v>
      </c>
      <c r="H546" s="12" t="s">
        <v>1494</v>
      </c>
      <c r="I546" s="15" t="s">
        <v>1495</v>
      </c>
    </row>
    <row r="547" customFormat="false" ht="23.85" hidden="false" customHeight="false" outlineLevel="0" collapsed="false">
      <c r="A547" s="12" t="s">
        <v>1624</v>
      </c>
      <c r="B547" s="13" t="s">
        <v>1529</v>
      </c>
      <c r="C547" s="13" t="s">
        <v>1186</v>
      </c>
      <c r="D547" s="13"/>
      <c r="E547" s="13" t="s">
        <v>1186</v>
      </c>
      <c r="F547" s="12" t="s">
        <v>1499</v>
      </c>
      <c r="G547" s="12" t="s">
        <v>170</v>
      </c>
      <c r="H547" s="12" t="s">
        <v>1494</v>
      </c>
      <c r="I547" s="15" t="s">
        <v>1495</v>
      </c>
    </row>
    <row r="548" customFormat="false" ht="23.85" hidden="false" customHeight="false" outlineLevel="0" collapsed="false">
      <c r="A548" s="12" t="s">
        <v>1625</v>
      </c>
      <c r="B548" s="13" t="s">
        <v>256</v>
      </c>
      <c r="C548" s="13"/>
      <c r="D548" s="13" t="s">
        <v>1186</v>
      </c>
      <c r="E548" s="13"/>
      <c r="F548" s="12" t="s">
        <v>82</v>
      </c>
      <c r="G548" s="12" t="s">
        <v>170</v>
      </c>
      <c r="H548" s="12" t="s">
        <v>1494</v>
      </c>
      <c r="I548" s="15" t="s">
        <v>1495</v>
      </c>
    </row>
    <row r="549" customFormat="false" ht="23.85" hidden="false" customHeight="false" outlineLevel="0" collapsed="false">
      <c r="A549" s="12" t="s">
        <v>1625</v>
      </c>
      <c r="B549" s="13" t="s">
        <v>1501</v>
      </c>
      <c r="C549" s="13"/>
      <c r="D549" s="13" t="s">
        <v>1186</v>
      </c>
      <c r="E549" s="13"/>
      <c r="F549" s="12" t="s">
        <v>82</v>
      </c>
      <c r="G549" s="12" t="s">
        <v>170</v>
      </c>
      <c r="H549" s="12" t="s">
        <v>1494</v>
      </c>
      <c r="I549" s="15" t="s">
        <v>1495</v>
      </c>
    </row>
    <row r="550" customFormat="false" ht="23.85" hidden="false" customHeight="false" outlineLevel="0" collapsed="false">
      <c r="A550" s="12" t="s">
        <v>1625</v>
      </c>
      <c r="B550" s="13" t="s">
        <v>381</v>
      </c>
      <c r="C550" s="13"/>
      <c r="D550" s="13" t="s">
        <v>1186</v>
      </c>
      <c r="E550" s="13"/>
      <c r="F550" s="12" t="s">
        <v>82</v>
      </c>
      <c r="G550" s="12" t="s">
        <v>170</v>
      </c>
      <c r="H550" s="12" t="s">
        <v>1494</v>
      </c>
      <c r="I550" s="15" t="s">
        <v>1495</v>
      </c>
    </row>
    <row r="551" customFormat="false" ht="23.85" hidden="false" customHeight="false" outlineLevel="0" collapsed="false">
      <c r="A551" s="12" t="s">
        <v>297</v>
      </c>
      <c r="B551" s="13" t="s">
        <v>256</v>
      </c>
      <c r="C551" s="13" t="s">
        <v>1186</v>
      </c>
      <c r="D551" s="13"/>
      <c r="E551" s="13"/>
      <c r="F551" s="12" t="s">
        <v>81</v>
      </c>
      <c r="G551" s="12" t="s">
        <v>170</v>
      </c>
      <c r="H551" s="12" t="s">
        <v>1494</v>
      </c>
      <c r="I551" s="15" t="s">
        <v>1495</v>
      </c>
    </row>
    <row r="552" customFormat="false" ht="23.85" hidden="false" customHeight="false" outlineLevel="0" collapsed="false">
      <c r="A552" s="12" t="s">
        <v>297</v>
      </c>
      <c r="B552" s="13" t="s">
        <v>300</v>
      </c>
      <c r="C552" s="13"/>
      <c r="D552" s="13"/>
      <c r="E552" s="13" t="s">
        <v>1186</v>
      </c>
      <c r="F552" s="12" t="s">
        <v>83</v>
      </c>
      <c r="G552" s="12" t="s">
        <v>170</v>
      </c>
      <c r="H552" s="12" t="s">
        <v>1494</v>
      </c>
      <c r="I552" s="15" t="s">
        <v>1495</v>
      </c>
    </row>
    <row r="553" customFormat="false" ht="23.85" hidden="false" customHeight="false" outlineLevel="0" collapsed="false">
      <c r="A553" s="12" t="s">
        <v>297</v>
      </c>
      <c r="B553" s="13" t="s">
        <v>445</v>
      </c>
      <c r="C553" s="13" t="s">
        <v>1186</v>
      </c>
      <c r="D553" s="13"/>
      <c r="E553" s="13"/>
      <c r="F553" s="12" t="s">
        <v>81</v>
      </c>
      <c r="G553" s="12" t="s">
        <v>170</v>
      </c>
      <c r="H553" s="12" t="s">
        <v>1494</v>
      </c>
      <c r="I553" s="15" t="s">
        <v>1495</v>
      </c>
    </row>
    <row r="554" customFormat="false" ht="23.85" hidden="false" customHeight="false" outlineLevel="0" collapsed="false">
      <c r="A554" s="12" t="s">
        <v>297</v>
      </c>
      <c r="B554" s="13" t="s">
        <v>255</v>
      </c>
      <c r="C554" s="13" t="s">
        <v>1186</v>
      </c>
      <c r="D554" s="13"/>
      <c r="E554" s="13"/>
      <c r="F554" s="12" t="s">
        <v>81</v>
      </c>
      <c r="G554" s="12" t="s">
        <v>170</v>
      </c>
      <c r="H554" s="12" t="s">
        <v>1494</v>
      </c>
      <c r="I554" s="15" t="s">
        <v>1495</v>
      </c>
    </row>
    <row r="555" customFormat="false" ht="23.85" hidden="false" customHeight="false" outlineLevel="0" collapsed="false">
      <c r="A555" s="12" t="s">
        <v>297</v>
      </c>
      <c r="B555" s="13" t="s">
        <v>367</v>
      </c>
      <c r="C555" s="13" t="s">
        <v>1186</v>
      </c>
      <c r="D555" s="13"/>
      <c r="E555" s="13"/>
      <c r="F555" s="12" t="s">
        <v>81</v>
      </c>
      <c r="G555" s="12" t="s">
        <v>170</v>
      </c>
      <c r="H555" s="12" t="s">
        <v>1494</v>
      </c>
      <c r="I555" s="15" t="s">
        <v>1495</v>
      </c>
    </row>
    <row r="556" customFormat="false" ht="23.85" hidden="false" customHeight="false" outlineLevel="0" collapsed="false">
      <c r="A556" s="12" t="s">
        <v>297</v>
      </c>
      <c r="B556" s="13" t="s">
        <v>305</v>
      </c>
      <c r="C556" s="13" t="s">
        <v>1186</v>
      </c>
      <c r="D556" s="13"/>
      <c r="E556" s="13"/>
      <c r="F556" s="12" t="s">
        <v>81</v>
      </c>
      <c r="G556" s="12" t="s">
        <v>170</v>
      </c>
      <c r="H556" s="12" t="s">
        <v>1494</v>
      </c>
      <c r="I556" s="15" t="s">
        <v>1495</v>
      </c>
    </row>
    <row r="557" customFormat="false" ht="23.85" hidden="false" customHeight="false" outlineLevel="0" collapsed="false">
      <c r="A557" s="12" t="s">
        <v>297</v>
      </c>
      <c r="B557" s="13" t="s">
        <v>381</v>
      </c>
      <c r="C557" s="13" t="s">
        <v>1186</v>
      </c>
      <c r="D557" s="13"/>
      <c r="E557" s="13"/>
      <c r="F557" s="12" t="s">
        <v>81</v>
      </c>
      <c r="G557" s="12" t="s">
        <v>170</v>
      </c>
      <c r="H557" s="12" t="s">
        <v>1494</v>
      </c>
      <c r="I557" s="15" t="s">
        <v>1495</v>
      </c>
    </row>
    <row r="558" customFormat="false" ht="23.85" hidden="false" customHeight="false" outlineLevel="0" collapsed="false">
      <c r="A558" s="12" t="s">
        <v>1626</v>
      </c>
      <c r="B558" s="13" t="s">
        <v>249</v>
      </c>
      <c r="C558" s="13"/>
      <c r="D558" s="13" t="s">
        <v>1186</v>
      </c>
      <c r="E558" s="13"/>
      <c r="F558" s="12" t="s">
        <v>82</v>
      </c>
      <c r="G558" s="12" t="s">
        <v>170</v>
      </c>
      <c r="H558" s="12" t="s">
        <v>1494</v>
      </c>
      <c r="I558" s="15" t="s">
        <v>1495</v>
      </c>
    </row>
    <row r="559" customFormat="false" ht="23.85" hidden="false" customHeight="false" outlineLevel="0" collapsed="false">
      <c r="A559" s="12" t="s">
        <v>1626</v>
      </c>
      <c r="B559" s="13" t="s">
        <v>1509</v>
      </c>
      <c r="C559" s="13"/>
      <c r="D559" s="13" t="s">
        <v>1186</v>
      </c>
      <c r="E559" s="13"/>
      <c r="F559" s="12" t="s">
        <v>82</v>
      </c>
      <c r="G559" s="12" t="s">
        <v>170</v>
      </c>
      <c r="H559" s="12" t="s">
        <v>1494</v>
      </c>
      <c r="I559" s="15" t="s">
        <v>1495</v>
      </c>
    </row>
    <row r="560" customFormat="false" ht="23.85" hidden="false" customHeight="false" outlineLevel="0" collapsed="false">
      <c r="A560" s="12" t="s">
        <v>1626</v>
      </c>
      <c r="B560" s="13" t="s">
        <v>256</v>
      </c>
      <c r="C560" s="13"/>
      <c r="D560" s="13" t="s">
        <v>1186</v>
      </c>
      <c r="E560" s="13"/>
      <c r="F560" s="12" t="s">
        <v>82</v>
      </c>
      <c r="G560" s="12" t="s">
        <v>170</v>
      </c>
      <c r="H560" s="12" t="s">
        <v>1494</v>
      </c>
      <c r="I560" s="15" t="s">
        <v>1495</v>
      </c>
    </row>
    <row r="561" customFormat="false" ht="23.85" hidden="false" customHeight="false" outlineLevel="0" collapsed="false">
      <c r="A561" s="12" t="s">
        <v>1626</v>
      </c>
      <c r="B561" s="13" t="s">
        <v>1501</v>
      </c>
      <c r="C561" s="13"/>
      <c r="D561" s="13" t="s">
        <v>1186</v>
      </c>
      <c r="E561" s="13"/>
      <c r="F561" s="12" t="s">
        <v>82</v>
      </c>
      <c r="G561" s="12" t="s">
        <v>170</v>
      </c>
      <c r="H561" s="12" t="s">
        <v>1494</v>
      </c>
      <c r="I561" s="15" t="s">
        <v>1495</v>
      </c>
    </row>
    <row r="562" customFormat="false" ht="23.85" hidden="false" customHeight="false" outlineLevel="0" collapsed="false">
      <c r="A562" s="12" t="s">
        <v>1626</v>
      </c>
      <c r="B562" s="13" t="s">
        <v>1512</v>
      </c>
      <c r="C562" s="13"/>
      <c r="D562" s="13" t="s">
        <v>1186</v>
      </c>
      <c r="E562" s="13"/>
      <c r="F562" s="12" t="s">
        <v>82</v>
      </c>
      <c r="G562" s="12" t="s">
        <v>170</v>
      </c>
      <c r="H562" s="12" t="s">
        <v>1494</v>
      </c>
      <c r="I562" s="15" t="s">
        <v>1495</v>
      </c>
    </row>
    <row r="563" customFormat="false" ht="23.85" hidden="false" customHeight="false" outlineLevel="0" collapsed="false">
      <c r="A563" s="12" t="s">
        <v>1626</v>
      </c>
      <c r="B563" s="13" t="s">
        <v>255</v>
      </c>
      <c r="C563" s="13"/>
      <c r="D563" s="13" t="s">
        <v>1186</v>
      </c>
      <c r="E563" s="13"/>
      <c r="F563" s="12" t="s">
        <v>82</v>
      </c>
      <c r="G563" s="12" t="s">
        <v>170</v>
      </c>
      <c r="H563" s="12" t="s">
        <v>1494</v>
      </c>
      <c r="I563" s="15" t="s">
        <v>1495</v>
      </c>
    </row>
    <row r="564" customFormat="false" ht="23.85" hidden="false" customHeight="false" outlineLevel="0" collapsed="false">
      <c r="A564" s="12" t="s">
        <v>1626</v>
      </c>
      <c r="B564" s="13" t="s">
        <v>1498</v>
      </c>
      <c r="C564" s="13"/>
      <c r="D564" s="13" t="s">
        <v>1186</v>
      </c>
      <c r="E564" s="13"/>
      <c r="F564" s="12" t="s">
        <v>82</v>
      </c>
      <c r="G564" s="12" t="s">
        <v>170</v>
      </c>
      <c r="H564" s="12" t="s">
        <v>1494</v>
      </c>
      <c r="I564" s="15" t="s">
        <v>1495</v>
      </c>
    </row>
    <row r="565" customFormat="false" ht="23.85" hidden="false" customHeight="false" outlineLevel="0" collapsed="false">
      <c r="A565" s="12" t="s">
        <v>1626</v>
      </c>
      <c r="B565" s="13" t="s">
        <v>490</v>
      </c>
      <c r="C565" s="13" t="s">
        <v>1186</v>
      </c>
      <c r="D565" s="13"/>
      <c r="E565" s="13"/>
      <c r="F565" s="12" t="s">
        <v>81</v>
      </c>
      <c r="G565" s="12" t="s">
        <v>170</v>
      </c>
      <c r="H565" s="12" t="s">
        <v>1494</v>
      </c>
      <c r="I565" s="15" t="s">
        <v>1495</v>
      </c>
    </row>
    <row r="566" customFormat="false" ht="23.85" hidden="false" customHeight="false" outlineLevel="0" collapsed="false">
      <c r="A566" s="12" t="s">
        <v>1626</v>
      </c>
      <c r="B566" s="13" t="s">
        <v>367</v>
      </c>
      <c r="C566" s="13"/>
      <c r="D566" s="13" t="s">
        <v>1186</v>
      </c>
      <c r="E566" s="13"/>
      <c r="F566" s="12" t="s">
        <v>82</v>
      </c>
      <c r="G566" s="12" t="s">
        <v>170</v>
      </c>
      <c r="H566" s="12" t="s">
        <v>1494</v>
      </c>
      <c r="I566" s="15" t="s">
        <v>1495</v>
      </c>
    </row>
    <row r="567" customFormat="false" ht="23.85" hidden="false" customHeight="false" outlineLevel="0" collapsed="false">
      <c r="A567" s="12" t="s">
        <v>1626</v>
      </c>
      <c r="B567" s="13" t="s">
        <v>305</v>
      </c>
      <c r="C567" s="13"/>
      <c r="D567" s="13" t="s">
        <v>1186</v>
      </c>
      <c r="E567" s="13"/>
      <c r="F567" s="12" t="s">
        <v>82</v>
      </c>
      <c r="G567" s="12" t="s">
        <v>170</v>
      </c>
      <c r="H567" s="12" t="s">
        <v>1494</v>
      </c>
      <c r="I567" s="15" t="s">
        <v>1495</v>
      </c>
    </row>
    <row r="568" customFormat="false" ht="23.85" hidden="false" customHeight="false" outlineLevel="0" collapsed="false">
      <c r="A568" s="12" t="s">
        <v>1626</v>
      </c>
      <c r="B568" s="13" t="s">
        <v>381</v>
      </c>
      <c r="C568" s="13"/>
      <c r="D568" s="13" t="s">
        <v>1186</v>
      </c>
      <c r="E568" s="13"/>
      <c r="F568" s="12" t="s">
        <v>82</v>
      </c>
      <c r="G568" s="12" t="s">
        <v>170</v>
      </c>
      <c r="H568" s="12" t="s">
        <v>1494</v>
      </c>
      <c r="I568" s="15" t="s">
        <v>1495</v>
      </c>
    </row>
    <row r="569" customFormat="false" ht="23.85" hidden="false" customHeight="false" outlineLevel="0" collapsed="false">
      <c r="A569" s="12" t="s">
        <v>1627</v>
      </c>
      <c r="B569" s="13" t="s">
        <v>1529</v>
      </c>
      <c r="C569" s="13" t="s">
        <v>1186</v>
      </c>
      <c r="D569" s="13"/>
      <c r="E569" s="13"/>
      <c r="F569" s="12" t="s">
        <v>81</v>
      </c>
      <c r="G569" s="12" t="s">
        <v>170</v>
      </c>
      <c r="H569" s="12" t="s">
        <v>1494</v>
      </c>
      <c r="I569" s="15" t="s">
        <v>1495</v>
      </c>
    </row>
    <row r="570" customFormat="false" ht="15" hidden="false" customHeight="false" outlineLevel="0" collapsed="false">
      <c r="A570" s="12" t="s">
        <v>171</v>
      </c>
      <c r="B570" s="13" t="s">
        <v>1503</v>
      </c>
      <c r="C570" s="13"/>
      <c r="D570" s="13"/>
      <c r="E570" s="13" t="n">
        <v>1</v>
      </c>
      <c r="F570" s="12" t="s">
        <v>83</v>
      </c>
      <c r="G570" s="12" t="s">
        <v>182</v>
      </c>
      <c r="H570" s="12" t="s">
        <v>1504</v>
      </c>
      <c r="I570" s="15" t="s">
        <v>1628</v>
      </c>
    </row>
    <row r="571" customFormat="false" ht="15" hidden="false" customHeight="false" outlineLevel="0" collapsed="false">
      <c r="A571" s="12" t="s">
        <v>171</v>
      </c>
      <c r="B571" s="13" t="s">
        <v>1507</v>
      </c>
      <c r="C571" s="13"/>
      <c r="D571" s="13"/>
      <c r="E571" s="13" t="n">
        <v>1</v>
      </c>
      <c r="F571" s="12" t="s">
        <v>83</v>
      </c>
      <c r="G571" s="12" t="s">
        <v>182</v>
      </c>
      <c r="H571" s="12" t="s">
        <v>1504</v>
      </c>
      <c r="I571" s="15" t="s">
        <v>1628</v>
      </c>
    </row>
    <row r="572" customFormat="false" ht="15" hidden="false" customHeight="false" outlineLevel="0" collapsed="false">
      <c r="A572" s="12" t="s">
        <v>171</v>
      </c>
      <c r="B572" s="13" t="s">
        <v>249</v>
      </c>
      <c r="C572" s="13" t="n">
        <v>5</v>
      </c>
      <c r="D572" s="13" t="n">
        <v>1</v>
      </c>
      <c r="E572" s="13" t="n">
        <v>9</v>
      </c>
      <c r="F572" s="12" t="s">
        <v>83</v>
      </c>
      <c r="G572" s="12" t="s">
        <v>182</v>
      </c>
      <c r="H572" s="12" t="s">
        <v>1504</v>
      </c>
      <c r="I572" s="15" t="s">
        <v>1628</v>
      </c>
    </row>
    <row r="573" customFormat="false" ht="15" hidden="false" customHeight="false" outlineLevel="0" collapsed="false">
      <c r="A573" s="12" t="s">
        <v>171</v>
      </c>
      <c r="B573" s="13" t="s">
        <v>249</v>
      </c>
      <c r="C573" s="13"/>
      <c r="D573" s="13"/>
      <c r="E573" s="13" t="s">
        <v>1186</v>
      </c>
      <c r="F573" s="12" t="s">
        <v>83</v>
      </c>
      <c r="G573" s="12" t="s">
        <v>1629</v>
      </c>
      <c r="H573" s="12" t="s">
        <v>1630</v>
      </c>
      <c r="I573" s="15" t="s">
        <v>1631</v>
      </c>
    </row>
    <row r="574" customFormat="false" ht="15" hidden="false" customHeight="false" outlineLevel="0" collapsed="false">
      <c r="A574" s="12" t="s">
        <v>171</v>
      </c>
      <c r="B574" s="13" t="s">
        <v>1508</v>
      </c>
      <c r="C574" s="13" t="n">
        <v>4</v>
      </c>
      <c r="D574" s="13"/>
      <c r="E574" s="13"/>
      <c r="F574" s="12" t="s">
        <v>81</v>
      </c>
      <c r="G574" s="12" t="s">
        <v>182</v>
      </c>
      <c r="H574" s="12" t="s">
        <v>1504</v>
      </c>
      <c r="I574" s="15" t="s">
        <v>1628</v>
      </c>
    </row>
    <row r="575" customFormat="false" ht="15" hidden="false" customHeight="false" outlineLevel="0" collapsed="false">
      <c r="A575" s="12" t="s">
        <v>171</v>
      </c>
      <c r="B575" s="13" t="s">
        <v>1511</v>
      </c>
      <c r="C575" s="13"/>
      <c r="D575" s="13"/>
      <c r="E575" s="13" t="n">
        <v>1</v>
      </c>
      <c r="F575" s="12" t="s">
        <v>83</v>
      </c>
      <c r="G575" s="12" t="s">
        <v>182</v>
      </c>
      <c r="H575" s="12" t="s">
        <v>1504</v>
      </c>
      <c r="I575" s="15" t="s">
        <v>1628</v>
      </c>
    </row>
    <row r="576" customFormat="false" ht="15" hidden="false" customHeight="false" outlineLevel="0" collapsed="false">
      <c r="A576" s="12" t="s">
        <v>171</v>
      </c>
      <c r="B576" s="13" t="s">
        <v>256</v>
      </c>
      <c r="C576" s="13"/>
      <c r="D576" s="13" t="n">
        <v>1</v>
      </c>
      <c r="E576" s="13" t="n">
        <v>2</v>
      </c>
      <c r="F576" s="12" t="s">
        <v>83</v>
      </c>
      <c r="G576" s="12" t="s">
        <v>182</v>
      </c>
      <c r="H576" s="12" t="s">
        <v>1504</v>
      </c>
      <c r="I576" s="15" t="s">
        <v>1628</v>
      </c>
    </row>
    <row r="577" customFormat="false" ht="15" hidden="false" customHeight="false" outlineLevel="0" collapsed="false">
      <c r="A577" s="12" t="s">
        <v>171</v>
      </c>
      <c r="B577" s="13" t="s">
        <v>1501</v>
      </c>
      <c r="C577" s="13" t="n">
        <v>1</v>
      </c>
      <c r="D577" s="13" t="n">
        <v>3</v>
      </c>
      <c r="E577" s="13" t="n">
        <v>2</v>
      </c>
      <c r="F577" s="12" t="s">
        <v>82</v>
      </c>
      <c r="G577" s="12" t="s">
        <v>182</v>
      </c>
      <c r="H577" s="12" t="s">
        <v>1504</v>
      </c>
      <c r="I577" s="15" t="s">
        <v>1628</v>
      </c>
    </row>
    <row r="578" customFormat="false" ht="15" hidden="false" customHeight="false" outlineLevel="0" collapsed="false">
      <c r="A578" s="12" t="s">
        <v>171</v>
      </c>
      <c r="B578" s="13" t="s">
        <v>1501</v>
      </c>
      <c r="C578" s="13"/>
      <c r="D578" s="13"/>
      <c r="E578" s="13" t="s">
        <v>1186</v>
      </c>
      <c r="F578" s="12" t="s">
        <v>83</v>
      </c>
      <c r="G578" s="12" t="s">
        <v>1629</v>
      </c>
      <c r="H578" s="12" t="s">
        <v>1630</v>
      </c>
      <c r="I578" s="15" t="s">
        <v>1631</v>
      </c>
    </row>
    <row r="579" customFormat="false" ht="15" hidden="false" customHeight="false" outlineLevel="0" collapsed="false">
      <c r="A579" s="12" t="s">
        <v>171</v>
      </c>
      <c r="B579" s="13" t="s">
        <v>1558</v>
      </c>
      <c r="C579" s="13"/>
      <c r="D579" s="13" t="n">
        <v>2</v>
      </c>
      <c r="E579" s="13"/>
      <c r="F579" s="12" t="s">
        <v>82</v>
      </c>
      <c r="G579" s="12" t="s">
        <v>182</v>
      </c>
      <c r="H579" s="12" t="s">
        <v>1504</v>
      </c>
      <c r="I579" s="15" t="s">
        <v>1628</v>
      </c>
    </row>
    <row r="580" customFormat="false" ht="15" hidden="false" customHeight="false" outlineLevel="0" collapsed="false">
      <c r="A580" s="12" t="s">
        <v>171</v>
      </c>
      <c r="B580" s="13" t="s">
        <v>1512</v>
      </c>
      <c r="C580" s="13"/>
      <c r="D580" s="13" t="n">
        <v>2</v>
      </c>
      <c r="E580" s="13" t="n">
        <v>10</v>
      </c>
      <c r="F580" s="12" t="s">
        <v>83</v>
      </c>
      <c r="G580" s="12" t="s">
        <v>182</v>
      </c>
      <c r="H580" s="12" t="s">
        <v>1504</v>
      </c>
      <c r="I580" s="15" t="s">
        <v>1628</v>
      </c>
    </row>
    <row r="581" customFormat="false" ht="15" hidden="false" customHeight="false" outlineLevel="0" collapsed="false">
      <c r="A581" s="12" t="s">
        <v>171</v>
      </c>
      <c r="B581" s="13" t="s">
        <v>442</v>
      </c>
      <c r="C581" s="13"/>
      <c r="D581" s="13"/>
      <c r="E581" s="13" t="n">
        <v>2</v>
      </c>
      <c r="F581" s="12" t="s">
        <v>83</v>
      </c>
      <c r="G581" s="12" t="s">
        <v>182</v>
      </c>
      <c r="H581" s="12" t="s">
        <v>1504</v>
      </c>
      <c r="I581" s="15" t="s">
        <v>1628</v>
      </c>
    </row>
    <row r="582" customFormat="false" ht="15" hidden="false" customHeight="false" outlineLevel="0" collapsed="false">
      <c r="A582" s="12" t="s">
        <v>171</v>
      </c>
      <c r="B582" s="13" t="s">
        <v>255</v>
      </c>
      <c r="C582" s="13" t="n">
        <v>1</v>
      </c>
      <c r="D582" s="13"/>
      <c r="E582" s="13"/>
      <c r="F582" s="12" t="s">
        <v>81</v>
      </c>
      <c r="G582" s="12" t="s">
        <v>182</v>
      </c>
      <c r="H582" s="12" t="s">
        <v>1504</v>
      </c>
      <c r="I582" s="15" t="s">
        <v>1628</v>
      </c>
    </row>
    <row r="583" customFormat="false" ht="15" hidden="false" customHeight="false" outlineLevel="0" collapsed="false">
      <c r="A583" s="12" t="s">
        <v>171</v>
      </c>
      <c r="B583" s="13" t="s">
        <v>1498</v>
      </c>
      <c r="C583" s="13"/>
      <c r="D583" s="13" t="n">
        <v>1</v>
      </c>
      <c r="E583" s="13"/>
      <c r="F583" s="12" t="s">
        <v>82</v>
      </c>
      <c r="G583" s="12" t="s">
        <v>182</v>
      </c>
      <c r="H583" s="12" t="s">
        <v>1504</v>
      </c>
      <c r="I583" s="15" t="s">
        <v>1628</v>
      </c>
    </row>
    <row r="584" customFormat="false" ht="15" hidden="false" customHeight="false" outlineLevel="0" collapsed="false">
      <c r="A584" s="12" t="s">
        <v>171</v>
      </c>
      <c r="B584" s="13" t="s">
        <v>1515</v>
      </c>
      <c r="C584" s="13"/>
      <c r="D584" s="13"/>
      <c r="E584" s="13" t="n">
        <v>1</v>
      </c>
      <c r="F584" s="12" t="s">
        <v>83</v>
      </c>
      <c r="G584" s="12" t="s">
        <v>182</v>
      </c>
      <c r="H584" s="12" t="s">
        <v>1504</v>
      </c>
      <c r="I584" s="15" t="s">
        <v>1628</v>
      </c>
    </row>
    <row r="585" customFormat="false" ht="15" hidden="false" customHeight="false" outlineLevel="0" collapsed="false">
      <c r="A585" s="12" t="s">
        <v>171</v>
      </c>
      <c r="B585" s="13" t="s">
        <v>490</v>
      </c>
      <c r="C585" s="13" t="n">
        <v>1</v>
      </c>
      <c r="D585" s="13"/>
      <c r="E585" s="13" t="n">
        <v>2</v>
      </c>
      <c r="F585" s="12" t="s">
        <v>83</v>
      </c>
      <c r="G585" s="12" t="s">
        <v>182</v>
      </c>
      <c r="H585" s="12" t="s">
        <v>1504</v>
      </c>
      <c r="I585" s="15" t="s">
        <v>1628</v>
      </c>
    </row>
    <row r="586" customFormat="false" ht="15" hidden="false" customHeight="false" outlineLevel="0" collapsed="false">
      <c r="A586" s="12" t="s">
        <v>171</v>
      </c>
      <c r="B586" s="13" t="s">
        <v>1516</v>
      </c>
      <c r="C586" s="13"/>
      <c r="D586" s="13" t="n">
        <v>1</v>
      </c>
      <c r="E586" s="13"/>
      <c r="F586" s="12" t="s">
        <v>82</v>
      </c>
      <c r="G586" s="12" t="s">
        <v>182</v>
      </c>
      <c r="H586" s="12" t="s">
        <v>1504</v>
      </c>
      <c r="I586" s="15" t="s">
        <v>1628</v>
      </c>
    </row>
    <row r="587" customFormat="false" ht="15" hidden="false" customHeight="false" outlineLevel="0" collapsed="false">
      <c r="A587" s="12" t="s">
        <v>171</v>
      </c>
      <c r="B587" s="13" t="s">
        <v>1519</v>
      </c>
      <c r="C587" s="13"/>
      <c r="D587" s="13" t="n">
        <v>1</v>
      </c>
      <c r="E587" s="13"/>
      <c r="F587" s="12" t="s">
        <v>82</v>
      </c>
      <c r="G587" s="12" t="s">
        <v>182</v>
      </c>
      <c r="H587" s="12" t="s">
        <v>1504</v>
      </c>
      <c r="I587" s="15" t="s">
        <v>1628</v>
      </c>
    </row>
    <row r="588" customFormat="false" ht="15" hidden="false" customHeight="false" outlineLevel="0" collapsed="false">
      <c r="A588" s="12" t="s">
        <v>171</v>
      </c>
      <c r="B588" s="13" t="s">
        <v>1593</v>
      </c>
      <c r="C588" s="13"/>
      <c r="D588" s="13" t="n">
        <v>1</v>
      </c>
      <c r="E588" s="13"/>
      <c r="F588" s="12" t="s">
        <v>82</v>
      </c>
      <c r="G588" s="12" t="s">
        <v>182</v>
      </c>
      <c r="H588" s="12" t="s">
        <v>1504</v>
      </c>
      <c r="I588" s="15" t="s">
        <v>1628</v>
      </c>
    </row>
    <row r="589" customFormat="false" ht="15" hidden="false" customHeight="false" outlineLevel="0" collapsed="false">
      <c r="A589" s="12" t="s">
        <v>171</v>
      </c>
      <c r="B589" s="13" t="s">
        <v>1520</v>
      </c>
      <c r="C589" s="13" t="n">
        <v>1</v>
      </c>
      <c r="D589" s="13"/>
      <c r="E589" s="13"/>
      <c r="F589" s="12" t="s">
        <v>81</v>
      </c>
      <c r="G589" s="12" t="s">
        <v>182</v>
      </c>
      <c r="H589" s="12" t="s">
        <v>1504</v>
      </c>
      <c r="I589" s="15" t="s">
        <v>1628</v>
      </c>
    </row>
    <row r="590" customFormat="false" ht="15" hidden="false" customHeight="false" outlineLevel="0" collapsed="false">
      <c r="A590" s="12" t="s">
        <v>171</v>
      </c>
      <c r="B590" s="13" t="s">
        <v>367</v>
      </c>
      <c r="C590" s="13" t="n">
        <v>1</v>
      </c>
      <c r="D590" s="13"/>
      <c r="E590" s="13" t="n">
        <v>2</v>
      </c>
      <c r="F590" s="12" t="s">
        <v>83</v>
      </c>
      <c r="G590" s="12" t="s">
        <v>182</v>
      </c>
      <c r="H590" s="12" t="s">
        <v>1504</v>
      </c>
      <c r="I590" s="15" t="s">
        <v>1628</v>
      </c>
    </row>
    <row r="591" customFormat="false" ht="15" hidden="false" customHeight="false" outlineLevel="0" collapsed="false">
      <c r="A591" s="12" t="s">
        <v>171</v>
      </c>
      <c r="B591" s="13" t="s">
        <v>1522</v>
      </c>
      <c r="C591" s="13" t="n">
        <v>2</v>
      </c>
      <c r="D591" s="13"/>
      <c r="E591" s="13"/>
      <c r="F591" s="12" t="s">
        <v>81</v>
      </c>
      <c r="G591" s="12" t="s">
        <v>182</v>
      </c>
      <c r="H591" s="12" t="s">
        <v>1504</v>
      </c>
      <c r="I591" s="15" t="s">
        <v>1628</v>
      </c>
    </row>
    <row r="592" customFormat="false" ht="15" hidden="false" customHeight="false" outlineLevel="0" collapsed="false">
      <c r="A592" s="12" t="s">
        <v>171</v>
      </c>
      <c r="B592" s="13" t="s">
        <v>377</v>
      </c>
      <c r="C592" s="13" t="n">
        <v>3</v>
      </c>
      <c r="D592" s="13"/>
      <c r="E592" s="13" t="n">
        <v>2</v>
      </c>
      <c r="F592" s="12" t="s">
        <v>81</v>
      </c>
      <c r="G592" s="12" t="s">
        <v>182</v>
      </c>
      <c r="H592" s="12" t="s">
        <v>1504</v>
      </c>
      <c r="I592" s="15" t="s">
        <v>1628</v>
      </c>
    </row>
    <row r="593" customFormat="false" ht="15" hidden="false" customHeight="false" outlineLevel="0" collapsed="false">
      <c r="A593" s="12" t="s">
        <v>171</v>
      </c>
      <c r="B593" s="13" t="s">
        <v>377</v>
      </c>
      <c r="C593" s="13" t="s">
        <v>1186</v>
      </c>
      <c r="D593" s="13"/>
      <c r="E593" s="13"/>
      <c r="F593" s="12" t="s">
        <v>81</v>
      </c>
      <c r="G593" s="12" t="s">
        <v>1629</v>
      </c>
      <c r="H593" s="12" t="s">
        <v>1630</v>
      </c>
      <c r="I593" s="15" t="s">
        <v>1631</v>
      </c>
    </row>
    <row r="594" customFormat="false" ht="15" hidden="false" customHeight="false" outlineLevel="0" collapsed="false">
      <c r="A594" s="12" t="s">
        <v>171</v>
      </c>
      <c r="B594" s="13" t="s">
        <v>1523</v>
      </c>
      <c r="C594" s="13"/>
      <c r="D594" s="13"/>
      <c r="E594" s="13" t="n">
        <v>4</v>
      </c>
      <c r="F594" s="12" t="s">
        <v>83</v>
      </c>
      <c r="G594" s="12" t="s">
        <v>182</v>
      </c>
      <c r="H594" s="12" t="s">
        <v>1504</v>
      </c>
      <c r="I594" s="15" t="s">
        <v>1628</v>
      </c>
    </row>
    <row r="595" customFormat="false" ht="15" hidden="false" customHeight="false" outlineLevel="0" collapsed="false">
      <c r="A595" s="12" t="s">
        <v>171</v>
      </c>
      <c r="B595" s="13" t="s">
        <v>1525</v>
      </c>
      <c r="C595" s="13"/>
      <c r="D595" s="13"/>
      <c r="E595" s="13" t="n">
        <v>4</v>
      </c>
      <c r="F595" s="12" t="s">
        <v>83</v>
      </c>
      <c r="G595" s="12" t="s">
        <v>182</v>
      </c>
      <c r="H595" s="12" t="s">
        <v>1504</v>
      </c>
      <c r="I595" s="15" t="s">
        <v>1628</v>
      </c>
    </row>
    <row r="596" customFormat="false" ht="15" hidden="false" customHeight="false" outlineLevel="0" collapsed="false">
      <c r="A596" s="12" t="s">
        <v>171</v>
      </c>
      <c r="B596" s="13" t="s">
        <v>305</v>
      </c>
      <c r="C596" s="13"/>
      <c r="D596" s="13"/>
      <c r="E596" s="13" t="n">
        <v>2</v>
      </c>
      <c r="F596" s="12" t="s">
        <v>83</v>
      </c>
      <c r="G596" s="12" t="s">
        <v>182</v>
      </c>
      <c r="H596" s="12" t="s">
        <v>1504</v>
      </c>
      <c r="I596" s="15" t="s">
        <v>1628</v>
      </c>
    </row>
    <row r="597" customFormat="false" ht="15" hidden="false" customHeight="false" outlineLevel="0" collapsed="false">
      <c r="A597" s="12" t="s">
        <v>171</v>
      </c>
      <c r="B597" s="13" t="s">
        <v>381</v>
      </c>
      <c r="C597" s="13"/>
      <c r="D597" s="13" t="n">
        <v>1</v>
      </c>
      <c r="E597" s="13"/>
      <c r="F597" s="12" t="s">
        <v>82</v>
      </c>
      <c r="G597" s="12" t="s">
        <v>182</v>
      </c>
      <c r="H597" s="12" t="s">
        <v>1504</v>
      </c>
      <c r="I597" s="15" t="s">
        <v>1628</v>
      </c>
    </row>
    <row r="598" customFormat="false" ht="15" hidden="false" customHeight="false" outlineLevel="0" collapsed="false">
      <c r="A598" s="12" t="s">
        <v>171</v>
      </c>
      <c r="B598" s="13" t="s">
        <v>1561</v>
      </c>
      <c r="C598" s="13"/>
      <c r="D598" s="13" t="n">
        <v>2</v>
      </c>
      <c r="E598" s="13"/>
      <c r="F598" s="12" t="s">
        <v>82</v>
      </c>
      <c r="G598" s="12" t="s">
        <v>182</v>
      </c>
      <c r="H598" s="12" t="s">
        <v>1504</v>
      </c>
      <c r="I598" s="15" t="s">
        <v>1628</v>
      </c>
    </row>
    <row r="599" customFormat="false" ht="15" hidden="false" customHeight="false" outlineLevel="0" collapsed="false">
      <c r="A599" s="12" t="s">
        <v>171</v>
      </c>
      <c r="B599" s="13" t="s">
        <v>316</v>
      </c>
      <c r="C599" s="13" t="n">
        <v>3</v>
      </c>
      <c r="D599" s="13" t="n">
        <v>5</v>
      </c>
      <c r="E599" s="13"/>
      <c r="F599" s="12" t="s">
        <v>82</v>
      </c>
      <c r="G599" s="12" t="s">
        <v>182</v>
      </c>
      <c r="H599" s="12" t="s">
        <v>1504</v>
      </c>
      <c r="I599" s="15" t="s">
        <v>1628</v>
      </c>
    </row>
    <row r="600" customFormat="false" ht="15" hidden="false" customHeight="false" outlineLevel="0" collapsed="false">
      <c r="A600" s="12" t="s">
        <v>171</v>
      </c>
      <c r="B600" s="13" t="s">
        <v>1527</v>
      </c>
      <c r="C600" s="13"/>
      <c r="D600" s="13"/>
      <c r="E600" s="13" t="n">
        <v>1</v>
      </c>
      <c r="F600" s="12" t="s">
        <v>83</v>
      </c>
      <c r="G600" s="12" t="s">
        <v>182</v>
      </c>
      <c r="H600" s="12" t="s">
        <v>1504</v>
      </c>
      <c r="I600" s="15" t="s">
        <v>1628</v>
      </c>
    </row>
    <row r="601" customFormat="false" ht="15" hidden="false" customHeight="false" outlineLevel="0" collapsed="false">
      <c r="A601" s="12" t="s">
        <v>171</v>
      </c>
      <c r="B601" s="13" t="s">
        <v>1529</v>
      </c>
      <c r="C601" s="13"/>
      <c r="D601" s="13"/>
      <c r="E601" s="13" t="n">
        <v>1</v>
      </c>
      <c r="F601" s="12" t="s">
        <v>83</v>
      </c>
      <c r="G601" s="12" t="s">
        <v>182</v>
      </c>
      <c r="H601" s="12" t="s">
        <v>1504</v>
      </c>
      <c r="I601" s="15" t="s">
        <v>1628</v>
      </c>
    </row>
    <row r="602" customFormat="false" ht="23.85" hidden="false" customHeight="false" outlineLevel="0" collapsed="false">
      <c r="A602" s="12" t="s">
        <v>1632</v>
      </c>
      <c r="B602" s="13" t="s">
        <v>381</v>
      </c>
      <c r="C602" s="13"/>
      <c r="D602" s="13"/>
      <c r="E602" s="13" t="s">
        <v>1186</v>
      </c>
      <c r="F602" s="12" t="s">
        <v>83</v>
      </c>
      <c r="G602" s="12" t="s">
        <v>170</v>
      </c>
      <c r="H602" s="12" t="s">
        <v>1494</v>
      </c>
      <c r="I602" s="15" t="s">
        <v>1495</v>
      </c>
    </row>
    <row r="603" customFormat="false" ht="23.85" hidden="false" customHeight="false" outlineLevel="0" collapsed="false">
      <c r="A603" s="12" t="s">
        <v>1633</v>
      </c>
      <c r="B603" s="13" t="s">
        <v>1529</v>
      </c>
      <c r="C603" s="13" t="s">
        <v>1186</v>
      </c>
      <c r="D603" s="13"/>
      <c r="E603" s="13"/>
      <c r="F603" s="12" t="s">
        <v>81</v>
      </c>
      <c r="G603" s="12" t="s">
        <v>170</v>
      </c>
      <c r="H603" s="12" t="s">
        <v>1494</v>
      </c>
      <c r="I603" s="15" t="s">
        <v>1495</v>
      </c>
    </row>
    <row r="604" customFormat="false" ht="23.85" hidden="false" customHeight="false" outlineLevel="0" collapsed="false">
      <c r="A604" s="12" t="s">
        <v>1634</v>
      </c>
      <c r="B604" s="13" t="s">
        <v>255</v>
      </c>
      <c r="C604" s="13" t="s">
        <v>1186</v>
      </c>
      <c r="D604" s="13"/>
      <c r="E604" s="13"/>
      <c r="F604" s="12" t="s">
        <v>81</v>
      </c>
      <c r="G604" s="12" t="s">
        <v>170</v>
      </c>
      <c r="H604" s="12" t="s">
        <v>1494</v>
      </c>
      <c r="I604" s="15" t="s">
        <v>1495</v>
      </c>
    </row>
    <row r="605" customFormat="false" ht="23.85" hidden="false" customHeight="false" outlineLevel="0" collapsed="false">
      <c r="A605" s="12" t="s">
        <v>1214</v>
      </c>
      <c r="B605" s="13" t="s">
        <v>1507</v>
      </c>
      <c r="C605" s="13"/>
      <c r="D605" s="13"/>
      <c r="E605" s="13" t="s">
        <v>1186</v>
      </c>
      <c r="F605" s="12" t="s">
        <v>83</v>
      </c>
      <c r="G605" s="12" t="s">
        <v>170</v>
      </c>
      <c r="H605" s="12" t="s">
        <v>1494</v>
      </c>
      <c r="I605" s="15" t="s">
        <v>1495</v>
      </c>
    </row>
    <row r="606" customFormat="false" ht="23.85" hidden="false" customHeight="false" outlineLevel="0" collapsed="false">
      <c r="A606" s="12" t="s">
        <v>1214</v>
      </c>
      <c r="B606" s="13" t="s">
        <v>249</v>
      </c>
      <c r="C606" s="13" t="s">
        <v>1186</v>
      </c>
      <c r="D606" s="13"/>
      <c r="E606" s="13" t="s">
        <v>1186</v>
      </c>
      <c r="F606" s="12" t="s">
        <v>1499</v>
      </c>
      <c r="G606" s="12" t="s">
        <v>170</v>
      </c>
      <c r="H606" s="12" t="s">
        <v>1494</v>
      </c>
      <c r="I606" s="15" t="s">
        <v>1495</v>
      </c>
    </row>
    <row r="607" customFormat="false" ht="23.85" hidden="false" customHeight="false" outlineLevel="0" collapsed="false">
      <c r="A607" s="12" t="s">
        <v>1214</v>
      </c>
      <c r="B607" s="13" t="s">
        <v>1508</v>
      </c>
      <c r="C607" s="13" t="s">
        <v>1186</v>
      </c>
      <c r="D607" s="13"/>
      <c r="E607" s="13"/>
      <c r="F607" s="12" t="s">
        <v>81</v>
      </c>
      <c r="G607" s="12" t="s">
        <v>170</v>
      </c>
      <c r="H607" s="12" t="s">
        <v>1494</v>
      </c>
      <c r="I607" s="15" t="s">
        <v>1495</v>
      </c>
    </row>
    <row r="608" customFormat="false" ht="23.85" hidden="false" customHeight="false" outlineLevel="0" collapsed="false">
      <c r="A608" s="12" t="s">
        <v>1214</v>
      </c>
      <c r="B608" s="13" t="s">
        <v>256</v>
      </c>
      <c r="C608" s="13"/>
      <c r="D608" s="13" t="s">
        <v>1186</v>
      </c>
      <c r="E608" s="13" t="s">
        <v>1186</v>
      </c>
      <c r="F608" s="12" t="s">
        <v>1542</v>
      </c>
      <c r="G608" s="12" t="s">
        <v>170</v>
      </c>
      <c r="H608" s="12" t="s">
        <v>1494</v>
      </c>
      <c r="I608" s="15" t="s">
        <v>1495</v>
      </c>
    </row>
    <row r="609" customFormat="false" ht="23.85" hidden="false" customHeight="false" outlineLevel="0" collapsed="false">
      <c r="A609" s="12" t="s">
        <v>1214</v>
      </c>
      <c r="B609" s="13" t="s">
        <v>1501</v>
      </c>
      <c r="C609" s="13" t="s">
        <v>1186</v>
      </c>
      <c r="D609" s="13" t="s">
        <v>1186</v>
      </c>
      <c r="E609" s="13" t="s">
        <v>1186</v>
      </c>
      <c r="F609" s="12" t="s">
        <v>1553</v>
      </c>
      <c r="G609" s="12" t="s">
        <v>170</v>
      </c>
      <c r="H609" s="12" t="s">
        <v>1494</v>
      </c>
      <c r="I609" s="15" t="s">
        <v>1495</v>
      </c>
    </row>
    <row r="610" customFormat="false" ht="23.85" hidden="false" customHeight="false" outlineLevel="0" collapsed="false">
      <c r="A610" s="12" t="s">
        <v>1214</v>
      </c>
      <c r="B610" s="13" t="s">
        <v>442</v>
      </c>
      <c r="C610" s="13"/>
      <c r="D610" s="13"/>
      <c r="E610" s="13" t="s">
        <v>1186</v>
      </c>
      <c r="F610" s="12" t="s">
        <v>83</v>
      </c>
      <c r="G610" s="12" t="s">
        <v>170</v>
      </c>
      <c r="H610" s="12" t="s">
        <v>1494</v>
      </c>
      <c r="I610" s="15" t="s">
        <v>1495</v>
      </c>
    </row>
    <row r="611" customFormat="false" ht="23.85" hidden="false" customHeight="false" outlineLevel="0" collapsed="false">
      <c r="A611" s="12" t="s">
        <v>1214</v>
      </c>
      <c r="B611" s="13" t="s">
        <v>1514</v>
      </c>
      <c r="C611" s="13"/>
      <c r="D611" s="13" t="s">
        <v>1186</v>
      </c>
      <c r="E611" s="13"/>
      <c r="F611" s="12" t="s">
        <v>82</v>
      </c>
      <c r="G611" s="12" t="s">
        <v>170</v>
      </c>
      <c r="H611" s="12" t="s">
        <v>1494</v>
      </c>
      <c r="I611" s="15" t="s">
        <v>1495</v>
      </c>
    </row>
    <row r="612" customFormat="false" ht="23.85" hidden="false" customHeight="false" outlineLevel="0" collapsed="false">
      <c r="A612" s="12" t="s">
        <v>1214</v>
      </c>
      <c r="B612" s="13" t="s">
        <v>255</v>
      </c>
      <c r="C612" s="13" t="s">
        <v>1186</v>
      </c>
      <c r="D612" s="13" t="s">
        <v>1186</v>
      </c>
      <c r="E612" s="13"/>
      <c r="F612" s="12" t="s">
        <v>1518</v>
      </c>
      <c r="G612" s="12" t="s">
        <v>170</v>
      </c>
      <c r="H612" s="12" t="s">
        <v>1494</v>
      </c>
      <c r="I612" s="15" t="s">
        <v>1495</v>
      </c>
    </row>
    <row r="613" customFormat="false" ht="23.85" hidden="false" customHeight="false" outlineLevel="0" collapsed="false">
      <c r="A613" s="12" t="s">
        <v>1214</v>
      </c>
      <c r="B613" s="13" t="s">
        <v>490</v>
      </c>
      <c r="C613" s="13"/>
      <c r="D613" s="13"/>
      <c r="E613" s="13" t="s">
        <v>1186</v>
      </c>
      <c r="F613" s="12" t="s">
        <v>83</v>
      </c>
      <c r="G613" s="12" t="s">
        <v>170</v>
      </c>
      <c r="H613" s="12" t="s">
        <v>1494</v>
      </c>
      <c r="I613" s="15" t="s">
        <v>1495</v>
      </c>
    </row>
    <row r="614" customFormat="false" ht="23.85" hidden="false" customHeight="false" outlineLevel="0" collapsed="false">
      <c r="A614" s="12" t="s">
        <v>1214</v>
      </c>
      <c r="B614" s="13" t="s">
        <v>1519</v>
      </c>
      <c r="C614" s="13" t="s">
        <v>1186</v>
      </c>
      <c r="D614" s="13" t="s">
        <v>1186</v>
      </c>
      <c r="E614" s="13"/>
      <c r="F614" s="12" t="s">
        <v>1518</v>
      </c>
      <c r="G614" s="12" t="s">
        <v>170</v>
      </c>
      <c r="H614" s="12" t="s">
        <v>1494</v>
      </c>
      <c r="I614" s="15" t="s">
        <v>1495</v>
      </c>
    </row>
    <row r="615" customFormat="false" ht="23.85" hidden="false" customHeight="false" outlineLevel="0" collapsed="false">
      <c r="A615" s="12" t="s">
        <v>1214</v>
      </c>
      <c r="B615" s="13" t="s">
        <v>367</v>
      </c>
      <c r="C615" s="13" t="s">
        <v>1186</v>
      </c>
      <c r="D615" s="13"/>
      <c r="E615" s="13" t="s">
        <v>1186</v>
      </c>
      <c r="F615" s="12" t="s">
        <v>1499</v>
      </c>
      <c r="G615" s="12" t="s">
        <v>170</v>
      </c>
      <c r="H615" s="12" t="s">
        <v>1494</v>
      </c>
      <c r="I615" s="15" t="s">
        <v>1495</v>
      </c>
    </row>
    <row r="616" customFormat="false" ht="23.85" hidden="false" customHeight="false" outlineLevel="0" collapsed="false">
      <c r="A616" s="12" t="s">
        <v>1214</v>
      </c>
      <c r="B616" s="13" t="s">
        <v>377</v>
      </c>
      <c r="C616" s="13" t="s">
        <v>1186</v>
      </c>
      <c r="D616" s="13"/>
      <c r="E616" s="13" t="s">
        <v>1186</v>
      </c>
      <c r="F616" s="12" t="s">
        <v>1499</v>
      </c>
      <c r="G616" s="12" t="s">
        <v>170</v>
      </c>
      <c r="H616" s="12" t="s">
        <v>1494</v>
      </c>
      <c r="I616" s="15" t="s">
        <v>1495</v>
      </c>
    </row>
    <row r="617" customFormat="false" ht="23.85" hidden="false" customHeight="false" outlineLevel="0" collapsed="false">
      <c r="A617" s="12" t="s">
        <v>1214</v>
      </c>
      <c r="B617" s="13" t="s">
        <v>1523</v>
      </c>
      <c r="C617" s="13"/>
      <c r="D617" s="13"/>
      <c r="E617" s="13" t="s">
        <v>1186</v>
      </c>
      <c r="F617" s="12" t="s">
        <v>83</v>
      </c>
      <c r="G617" s="12" t="s">
        <v>170</v>
      </c>
      <c r="H617" s="12" t="s">
        <v>1494</v>
      </c>
      <c r="I617" s="15" t="s">
        <v>1495</v>
      </c>
    </row>
    <row r="618" customFormat="false" ht="23.85" hidden="false" customHeight="false" outlineLevel="0" collapsed="false">
      <c r="A618" s="12" t="s">
        <v>1214</v>
      </c>
      <c r="B618" s="13" t="s">
        <v>1525</v>
      </c>
      <c r="C618" s="13" t="s">
        <v>1186</v>
      </c>
      <c r="D618" s="13"/>
      <c r="E618" s="13"/>
      <c r="F618" s="12" t="s">
        <v>81</v>
      </c>
      <c r="G618" s="12" t="s">
        <v>170</v>
      </c>
      <c r="H618" s="12" t="s">
        <v>1494</v>
      </c>
      <c r="I618" s="15" t="s">
        <v>1495</v>
      </c>
    </row>
    <row r="619" customFormat="false" ht="23.85" hidden="false" customHeight="false" outlineLevel="0" collapsed="false">
      <c r="A619" s="12" t="s">
        <v>1214</v>
      </c>
      <c r="B619" s="13" t="s">
        <v>305</v>
      </c>
      <c r="C619" s="13" t="s">
        <v>1186</v>
      </c>
      <c r="D619" s="13"/>
      <c r="E619" s="13" t="s">
        <v>1186</v>
      </c>
      <c r="F619" s="12" t="s">
        <v>1499</v>
      </c>
      <c r="G619" s="12" t="s">
        <v>170</v>
      </c>
      <c r="H619" s="12" t="s">
        <v>1494</v>
      </c>
      <c r="I619" s="15" t="s">
        <v>1495</v>
      </c>
    </row>
    <row r="620" customFormat="false" ht="23.85" hidden="false" customHeight="false" outlineLevel="0" collapsed="false">
      <c r="A620" s="12" t="s">
        <v>1214</v>
      </c>
      <c r="B620" s="13" t="s">
        <v>381</v>
      </c>
      <c r="C620" s="13" t="s">
        <v>1186</v>
      </c>
      <c r="D620" s="13" t="s">
        <v>1186</v>
      </c>
      <c r="E620" s="13" t="s">
        <v>1186</v>
      </c>
      <c r="F620" s="12" t="s">
        <v>1553</v>
      </c>
      <c r="G620" s="12" t="s">
        <v>170</v>
      </c>
      <c r="H620" s="12" t="s">
        <v>1494</v>
      </c>
      <c r="I620" s="15" t="s">
        <v>1495</v>
      </c>
    </row>
    <row r="621" customFormat="false" ht="23.85" hidden="false" customHeight="false" outlineLevel="0" collapsed="false">
      <c r="A621" s="12" t="s">
        <v>1214</v>
      </c>
      <c r="B621" s="13" t="s">
        <v>316</v>
      </c>
      <c r="C621" s="13" t="s">
        <v>1186</v>
      </c>
      <c r="D621" s="13" t="s">
        <v>1186</v>
      </c>
      <c r="E621" s="13"/>
      <c r="F621" s="12" t="s">
        <v>1518</v>
      </c>
      <c r="G621" s="12" t="s">
        <v>170</v>
      </c>
      <c r="H621" s="12" t="s">
        <v>1494</v>
      </c>
      <c r="I621" s="15" t="s">
        <v>1495</v>
      </c>
    </row>
    <row r="622" customFormat="false" ht="23.85" hidden="false" customHeight="false" outlineLevel="0" collapsed="false">
      <c r="A622" s="12" t="s">
        <v>1214</v>
      </c>
      <c r="B622" s="13" t="s">
        <v>1528</v>
      </c>
      <c r="C622" s="13"/>
      <c r="D622" s="13" t="s">
        <v>1186</v>
      </c>
      <c r="E622" s="13"/>
      <c r="F622" s="12" t="s">
        <v>82</v>
      </c>
      <c r="G622" s="12" t="s">
        <v>170</v>
      </c>
      <c r="H622" s="12" t="s">
        <v>1494</v>
      </c>
      <c r="I622" s="15" t="s">
        <v>1495</v>
      </c>
    </row>
    <row r="623" customFormat="false" ht="23.85" hidden="false" customHeight="false" outlineLevel="0" collapsed="false">
      <c r="A623" s="12" t="s">
        <v>1214</v>
      </c>
      <c r="B623" s="13" t="s">
        <v>1529</v>
      </c>
      <c r="C623" s="13"/>
      <c r="D623" s="13" t="s">
        <v>1186</v>
      </c>
      <c r="E623" s="13" t="s">
        <v>1186</v>
      </c>
      <c r="F623" s="12" t="s">
        <v>1542</v>
      </c>
      <c r="G623" s="12" t="s">
        <v>170</v>
      </c>
      <c r="H623" s="12" t="s">
        <v>1494</v>
      </c>
      <c r="I623" s="15" t="s">
        <v>1495</v>
      </c>
    </row>
    <row r="624" customFormat="false" ht="23.85" hidden="false" customHeight="false" outlineLevel="0" collapsed="false">
      <c r="A624" s="12" t="s">
        <v>1635</v>
      </c>
      <c r="B624" s="13" t="s">
        <v>256</v>
      </c>
      <c r="C624" s="13" t="s">
        <v>1186</v>
      </c>
      <c r="D624" s="13"/>
      <c r="E624" s="13"/>
      <c r="F624" s="12" t="s">
        <v>81</v>
      </c>
      <c r="G624" s="12" t="s">
        <v>170</v>
      </c>
      <c r="H624" s="12" t="s">
        <v>1494</v>
      </c>
      <c r="I624" s="15" t="s">
        <v>1495</v>
      </c>
    </row>
    <row r="625" customFormat="false" ht="23.85" hidden="false" customHeight="false" outlineLevel="0" collapsed="false">
      <c r="A625" s="12" t="s">
        <v>1635</v>
      </c>
      <c r="B625" s="13" t="s">
        <v>1501</v>
      </c>
      <c r="C625" s="13" t="s">
        <v>1186</v>
      </c>
      <c r="D625" s="13"/>
      <c r="E625" s="13"/>
      <c r="F625" s="12" t="s">
        <v>81</v>
      </c>
      <c r="G625" s="12" t="s">
        <v>170</v>
      </c>
      <c r="H625" s="12" t="s">
        <v>1494</v>
      </c>
      <c r="I625" s="15" t="s">
        <v>1495</v>
      </c>
    </row>
    <row r="626" customFormat="false" ht="23.85" hidden="false" customHeight="false" outlineLevel="0" collapsed="false">
      <c r="A626" s="12" t="s">
        <v>1635</v>
      </c>
      <c r="B626" s="13" t="s">
        <v>1512</v>
      </c>
      <c r="C626" s="13" t="s">
        <v>1186</v>
      </c>
      <c r="D626" s="13"/>
      <c r="E626" s="13"/>
      <c r="F626" s="12" t="s">
        <v>81</v>
      </c>
      <c r="G626" s="12" t="s">
        <v>170</v>
      </c>
      <c r="H626" s="12" t="s">
        <v>1494</v>
      </c>
      <c r="I626" s="15" t="s">
        <v>1495</v>
      </c>
    </row>
    <row r="627" customFormat="false" ht="23.85" hidden="false" customHeight="false" outlineLevel="0" collapsed="false">
      <c r="A627" s="12" t="s">
        <v>1635</v>
      </c>
      <c r="B627" s="13" t="s">
        <v>1498</v>
      </c>
      <c r="C627" s="13" t="s">
        <v>1186</v>
      </c>
      <c r="D627" s="13"/>
      <c r="E627" s="13"/>
      <c r="F627" s="12" t="s">
        <v>81</v>
      </c>
      <c r="G627" s="12" t="s">
        <v>170</v>
      </c>
      <c r="H627" s="12" t="s">
        <v>1494</v>
      </c>
      <c r="I627" s="15" t="s">
        <v>1495</v>
      </c>
    </row>
    <row r="628" customFormat="false" ht="23.85" hidden="false" customHeight="false" outlineLevel="0" collapsed="false">
      <c r="A628" s="12" t="s">
        <v>1635</v>
      </c>
      <c r="B628" s="13" t="s">
        <v>377</v>
      </c>
      <c r="C628" s="13" t="s">
        <v>1186</v>
      </c>
      <c r="D628" s="13"/>
      <c r="E628" s="13"/>
      <c r="F628" s="12" t="s">
        <v>81</v>
      </c>
      <c r="G628" s="12" t="s">
        <v>170</v>
      </c>
      <c r="H628" s="12" t="s">
        <v>1494</v>
      </c>
      <c r="I628" s="15" t="s">
        <v>1495</v>
      </c>
    </row>
    <row r="629" customFormat="false" ht="23.85" hidden="false" customHeight="false" outlineLevel="0" collapsed="false">
      <c r="A629" s="12" t="s">
        <v>1635</v>
      </c>
      <c r="B629" s="13" t="s">
        <v>1529</v>
      </c>
      <c r="C629" s="13" t="s">
        <v>1186</v>
      </c>
      <c r="D629" s="13"/>
      <c r="E629" s="13"/>
      <c r="F629" s="12" t="s">
        <v>81</v>
      </c>
      <c r="G629" s="12" t="s">
        <v>170</v>
      </c>
      <c r="H629" s="12" t="s">
        <v>1494</v>
      </c>
      <c r="I629" s="15" t="s">
        <v>1495</v>
      </c>
    </row>
    <row r="630" customFormat="false" ht="23.85" hidden="false" customHeight="false" outlineLevel="0" collapsed="false">
      <c r="A630" s="12" t="s">
        <v>1636</v>
      </c>
      <c r="B630" s="13" t="s">
        <v>445</v>
      </c>
      <c r="C630" s="13"/>
      <c r="D630" s="13"/>
      <c r="E630" s="13" t="s">
        <v>1186</v>
      </c>
      <c r="F630" s="12" t="s">
        <v>83</v>
      </c>
      <c r="G630" s="12" t="s">
        <v>170</v>
      </c>
      <c r="H630" s="12" t="s">
        <v>1494</v>
      </c>
      <c r="I630" s="15" t="s">
        <v>1495</v>
      </c>
    </row>
    <row r="631" customFormat="false" ht="23.85" hidden="false" customHeight="false" outlineLevel="0" collapsed="false">
      <c r="A631" s="12" t="s">
        <v>1637</v>
      </c>
      <c r="B631" s="13" t="s">
        <v>1528</v>
      </c>
      <c r="C631" s="13"/>
      <c r="D631" s="13" t="s">
        <v>1186</v>
      </c>
      <c r="E631" s="13"/>
      <c r="F631" s="12" t="s">
        <v>82</v>
      </c>
      <c r="G631" s="12" t="s">
        <v>170</v>
      </c>
      <c r="H631" s="12" t="s">
        <v>1494</v>
      </c>
      <c r="I631" s="15" t="s">
        <v>1495</v>
      </c>
    </row>
    <row r="632" customFormat="false" ht="23.85" hidden="false" customHeight="false" outlineLevel="0" collapsed="false">
      <c r="A632" s="12" t="s">
        <v>1638</v>
      </c>
      <c r="B632" s="13" t="s">
        <v>442</v>
      </c>
      <c r="C632" s="13" t="s">
        <v>1186</v>
      </c>
      <c r="D632" s="13"/>
      <c r="E632" s="13"/>
      <c r="F632" s="12" t="s">
        <v>81</v>
      </c>
      <c r="G632" s="12" t="s">
        <v>170</v>
      </c>
      <c r="H632" s="12" t="s">
        <v>1494</v>
      </c>
      <c r="I632" s="15" t="s">
        <v>1495</v>
      </c>
    </row>
    <row r="633" customFormat="false" ht="23.85" hidden="false" customHeight="false" outlineLevel="0" collapsed="false">
      <c r="A633" s="12" t="s">
        <v>1638</v>
      </c>
      <c r="B633" s="13" t="s">
        <v>367</v>
      </c>
      <c r="C633" s="13"/>
      <c r="D633" s="13"/>
      <c r="E633" s="13" t="s">
        <v>1186</v>
      </c>
      <c r="F633" s="12" t="s">
        <v>83</v>
      </c>
      <c r="G633" s="12" t="s">
        <v>170</v>
      </c>
      <c r="H633" s="12" t="s">
        <v>1494</v>
      </c>
      <c r="I633" s="15" t="s">
        <v>1495</v>
      </c>
    </row>
    <row r="634" customFormat="false" ht="23.85" hidden="false" customHeight="false" outlineLevel="0" collapsed="false">
      <c r="A634" s="12" t="s">
        <v>1349</v>
      </c>
      <c r="B634" s="13" t="s">
        <v>249</v>
      </c>
      <c r="C634" s="13" t="s">
        <v>1186</v>
      </c>
      <c r="D634" s="13"/>
      <c r="E634" s="13" t="s">
        <v>1186</v>
      </c>
      <c r="F634" s="12" t="s">
        <v>1499</v>
      </c>
      <c r="G634" s="12" t="s">
        <v>170</v>
      </c>
      <c r="H634" s="12" t="s">
        <v>1494</v>
      </c>
      <c r="I634" s="15" t="s">
        <v>1495</v>
      </c>
    </row>
    <row r="635" customFormat="false" ht="23.85" hidden="false" customHeight="false" outlineLevel="0" collapsed="false">
      <c r="A635" s="12" t="s">
        <v>1349</v>
      </c>
      <c r="B635" s="13" t="s">
        <v>1509</v>
      </c>
      <c r="C635" s="13" t="s">
        <v>1186</v>
      </c>
      <c r="D635" s="13"/>
      <c r="E635" s="13"/>
      <c r="F635" s="12" t="s">
        <v>81</v>
      </c>
      <c r="G635" s="12" t="s">
        <v>170</v>
      </c>
      <c r="H635" s="12" t="s">
        <v>1494</v>
      </c>
      <c r="I635" s="15" t="s">
        <v>1495</v>
      </c>
    </row>
    <row r="636" customFormat="false" ht="23.85" hidden="false" customHeight="false" outlineLevel="0" collapsed="false">
      <c r="A636" s="12" t="s">
        <v>1349</v>
      </c>
      <c r="B636" s="13" t="s">
        <v>256</v>
      </c>
      <c r="C636" s="13" t="s">
        <v>1186</v>
      </c>
      <c r="D636" s="13"/>
      <c r="E636" s="13"/>
      <c r="F636" s="12" t="s">
        <v>81</v>
      </c>
      <c r="G636" s="12" t="s">
        <v>170</v>
      </c>
      <c r="H636" s="12" t="s">
        <v>1494</v>
      </c>
      <c r="I636" s="15" t="s">
        <v>1495</v>
      </c>
    </row>
    <row r="637" customFormat="false" ht="23.85" hidden="false" customHeight="false" outlineLevel="0" collapsed="false">
      <c r="A637" s="12" t="s">
        <v>1349</v>
      </c>
      <c r="B637" s="13" t="s">
        <v>1501</v>
      </c>
      <c r="C637" s="13" t="s">
        <v>1186</v>
      </c>
      <c r="D637" s="13"/>
      <c r="E637" s="13" t="s">
        <v>1186</v>
      </c>
      <c r="F637" s="12" t="s">
        <v>1499</v>
      </c>
      <c r="G637" s="12" t="s">
        <v>170</v>
      </c>
      <c r="H637" s="12" t="s">
        <v>1494</v>
      </c>
      <c r="I637" s="15" t="s">
        <v>1495</v>
      </c>
    </row>
    <row r="638" customFormat="false" ht="23.85" hidden="false" customHeight="false" outlineLevel="0" collapsed="false">
      <c r="A638" s="12" t="s">
        <v>1349</v>
      </c>
      <c r="B638" s="13" t="s">
        <v>1512</v>
      </c>
      <c r="C638" s="13" t="s">
        <v>1186</v>
      </c>
      <c r="D638" s="13" t="s">
        <v>1186</v>
      </c>
      <c r="E638" s="13" t="s">
        <v>1186</v>
      </c>
      <c r="F638" s="12" t="s">
        <v>1553</v>
      </c>
      <c r="G638" s="12" t="s">
        <v>170</v>
      </c>
      <c r="H638" s="12" t="s">
        <v>1494</v>
      </c>
      <c r="I638" s="15" t="s">
        <v>1495</v>
      </c>
    </row>
    <row r="639" customFormat="false" ht="23.85" hidden="false" customHeight="false" outlineLevel="0" collapsed="false">
      <c r="A639" s="12" t="s">
        <v>1349</v>
      </c>
      <c r="B639" s="13" t="s">
        <v>1513</v>
      </c>
      <c r="C639" s="13" t="s">
        <v>1186</v>
      </c>
      <c r="D639" s="13"/>
      <c r="E639" s="13"/>
      <c r="F639" s="12" t="s">
        <v>81</v>
      </c>
      <c r="G639" s="12" t="s">
        <v>170</v>
      </c>
      <c r="H639" s="12" t="s">
        <v>1494</v>
      </c>
      <c r="I639" s="15" t="s">
        <v>1495</v>
      </c>
    </row>
    <row r="640" customFormat="false" ht="23.85" hidden="false" customHeight="false" outlineLevel="0" collapsed="false">
      <c r="A640" s="12" t="s">
        <v>1349</v>
      </c>
      <c r="B640" s="13" t="s">
        <v>255</v>
      </c>
      <c r="C640" s="13" t="s">
        <v>1186</v>
      </c>
      <c r="D640" s="13"/>
      <c r="E640" s="13"/>
      <c r="F640" s="12" t="s">
        <v>81</v>
      </c>
      <c r="G640" s="12" t="s">
        <v>170</v>
      </c>
      <c r="H640" s="12" t="s">
        <v>1494</v>
      </c>
      <c r="I640" s="15" t="s">
        <v>1495</v>
      </c>
    </row>
    <row r="641" customFormat="false" ht="23.85" hidden="false" customHeight="false" outlineLevel="0" collapsed="false">
      <c r="A641" s="12" t="s">
        <v>1349</v>
      </c>
      <c r="B641" s="13" t="s">
        <v>490</v>
      </c>
      <c r="C641" s="13" t="s">
        <v>1186</v>
      </c>
      <c r="D641" s="13"/>
      <c r="E641" s="13"/>
      <c r="F641" s="12" t="s">
        <v>81</v>
      </c>
      <c r="G641" s="12" t="s">
        <v>170</v>
      </c>
      <c r="H641" s="12" t="s">
        <v>1494</v>
      </c>
      <c r="I641" s="15" t="s">
        <v>1495</v>
      </c>
    </row>
    <row r="642" customFormat="false" ht="23.85" hidden="false" customHeight="false" outlineLevel="0" collapsed="false">
      <c r="A642" s="12" t="s">
        <v>1349</v>
      </c>
      <c r="B642" s="13" t="s">
        <v>377</v>
      </c>
      <c r="C642" s="13" t="s">
        <v>1186</v>
      </c>
      <c r="D642" s="13" t="s">
        <v>1186</v>
      </c>
      <c r="E642" s="13"/>
      <c r="F642" s="12" t="s">
        <v>1518</v>
      </c>
      <c r="G642" s="12" t="s">
        <v>170</v>
      </c>
      <c r="H642" s="12" t="s">
        <v>1494</v>
      </c>
      <c r="I642" s="15" t="s">
        <v>1495</v>
      </c>
    </row>
    <row r="643" customFormat="false" ht="23.85" hidden="false" customHeight="false" outlineLevel="0" collapsed="false">
      <c r="A643" s="12" t="s">
        <v>1349</v>
      </c>
      <c r="B643" s="13" t="s">
        <v>1523</v>
      </c>
      <c r="C643" s="13" t="s">
        <v>1186</v>
      </c>
      <c r="D643" s="13"/>
      <c r="E643" s="13" t="s">
        <v>1186</v>
      </c>
      <c r="F643" s="12" t="s">
        <v>1499</v>
      </c>
      <c r="G643" s="12" t="s">
        <v>170</v>
      </c>
      <c r="H643" s="12" t="s">
        <v>1494</v>
      </c>
      <c r="I643" s="15" t="s">
        <v>1495</v>
      </c>
    </row>
    <row r="644" customFormat="false" ht="23.85" hidden="false" customHeight="false" outlineLevel="0" collapsed="false">
      <c r="A644" s="12" t="s">
        <v>1349</v>
      </c>
      <c r="B644" s="13" t="s">
        <v>305</v>
      </c>
      <c r="C644" s="13" t="s">
        <v>1186</v>
      </c>
      <c r="D644" s="13"/>
      <c r="E644" s="13"/>
      <c r="F644" s="12" t="s">
        <v>81</v>
      </c>
      <c r="G644" s="12" t="s">
        <v>170</v>
      </c>
      <c r="H644" s="12" t="s">
        <v>1494</v>
      </c>
      <c r="I644" s="15" t="s">
        <v>1495</v>
      </c>
    </row>
    <row r="645" customFormat="false" ht="23.85" hidden="false" customHeight="false" outlineLevel="0" collapsed="false">
      <c r="A645" s="12" t="s">
        <v>1349</v>
      </c>
      <c r="B645" s="13" t="s">
        <v>381</v>
      </c>
      <c r="C645" s="13" t="s">
        <v>1186</v>
      </c>
      <c r="D645" s="13"/>
      <c r="E645" s="13"/>
      <c r="F645" s="12" t="s">
        <v>81</v>
      </c>
      <c r="G645" s="12" t="s">
        <v>170</v>
      </c>
      <c r="H645" s="12" t="s">
        <v>1494</v>
      </c>
      <c r="I645" s="15" t="s">
        <v>1495</v>
      </c>
    </row>
    <row r="646" customFormat="false" ht="23.85" hidden="false" customHeight="false" outlineLevel="0" collapsed="false">
      <c r="A646" s="12" t="s">
        <v>1349</v>
      </c>
      <c r="B646" s="13" t="s">
        <v>316</v>
      </c>
      <c r="C646" s="13" t="s">
        <v>1186</v>
      </c>
      <c r="D646" s="13" t="s">
        <v>1186</v>
      </c>
      <c r="E646" s="13"/>
      <c r="F646" s="12" t="s">
        <v>1518</v>
      </c>
      <c r="G646" s="12" t="s">
        <v>170</v>
      </c>
      <c r="H646" s="12" t="s">
        <v>1494</v>
      </c>
      <c r="I646" s="15" t="s">
        <v>1495</v>
      </c>
    </row>
    <row r="647" customFormat="false" ht="23.85" hidden="false" customHeight="false" outlineLevel="0" collapsed="false">
      <c r="A647" s="12" t="s">
        <v>1349</v>
      </c>
      <c r="B647" s="13" t="s">
        <v>1529</v>
      </c>
      <c r="C647" s="13" t="s">
        <v>1186</v>
      </c>
      <c r="D647" s="13"/>
      <c r="E647" s="13" t="s">
        <v>1186</v>
      </c>
      <c r="F647" s="12" t="s">
        <v>1499</v>
      </c>
      <c r="G647" s="12" t="s">
        <v>170</v>
      </c>
      <c r="H647" s="12" t="s">
        <v>1494</v>
      </c>
      <c r="I647" s="15" t="s">
        <v>1495</v>
      </c>
    </row>
    <row r="648" customFormat="false" ht="23.85" hidden="false" customHeight="false" outlineLevel="0" collapsed="false">
      <c r="A648" s="12" t="s">
        <v>1349</v>
      </c>
      <c r="B648" s="13" t="s">
        <v>1545</v>
      </c>
      <c r="C648" s="13" t="s">
        <v>1186</v>
      </c>
      <c r="D648" s="13"/>
      <c r="E648" s="13"/>
      <c r="F648" s="12" t="s">
        <v>81</v>
      </c>
      <c r="G648" s="12" t="s">
        <v>170</v>
      </c>
      <c r="H648" s="12" t="s">
        <v>1494</v>
      </c>
      <c r="I648" s="15" t="s">
        <v>1495</v>
      </c>
    </row>
    <row r="649" customFormat="false" ht="15" hidden="false" customHeight="false" outlineLevel="0" collapsed="false">
      <c r="A649" s="12" t="s">
        <v>183</v>
      </c>
      <c r="B649" s="13" t="s">
        <v>1507</v>
      </c>
      <c r="C649" s="13" t="n">
        <v>3</v>
      </c>
      <c r="D649" s="13"/>
      <c r="E649" s="13"/>
      <c r="F649" s="12" t="s">
        <v>81</v>
      </c>
      <c r="G649" s="12" t="s">
        <v>194</v>
      </c>
      <c r="H649" s="12" t="s">
        <v>1504</v>
      </c>
      <c r="I649" s="15" t="s">
        <v>1639</v>
      </c>
    </row>
    <row r="650" customFormat="false" ht="15" hidden="false" customHeight="false" outlineLevel="0" collapsed="false">
      <c r="A650" s="12" t="s">
        <v>183</v>
      </c>
      <c r="B650" s="13" t="s">
        <v>249</v>
      </c>
      <c r="C650" s="13" t="n">
        <v>9</v>
      </c>
      <c r="D650" s="13" t="n">
        <v>1</v>
      </c>
      <c r="E650" s="13" t="n">
        <v>2</v>
      </c>
      <c r="F650" s="12" t="s">
        <v>81</v>
      </c>
      <c r="G650" s="12" t="s">
        <v>194</v>
      </c>
      <c r="H650" s="12" t="s">
        <v>1504</v>
      </c>
      <c r="I650" s="15" t="s">
        <v>1639</v>
      </c>
    </row>
    <row r="651" customFormat="false" ht="15" hidden="false" customHeight="false" outlineLevel="0" collapsed="false">
      <c r="A651" s="12" t="s">
        <v>183</v>
      </c>
      <c r="B651" s="13" t="s">
        <v>1508</v>
      </c>
      <c r="C651" s="13"/>
      <c r="D651" s="13" t="n">
        <v>2</v>
      </c>
      <c r="E651" s="13"/>
      <c r="F651" s="12" t="s">
        <v>82</v>
      </c>
      <c r="G651" s="12" t="s">
        <v>194</v>
      </c>
      <c r="H651" s="12" t="s">
        <v>1504</v>
      </c>
      <c r="I651" s="15" t="s">
        <v>1639</v>
      </c>
    </row>
    <row r="652" customFormat="false" ht="15" hidden="false" customHeight="false" outlineLevel="0" collapsed="false">
      <c r="A652" s="12" t="s">
        <v>183</v>
      </c>
      <c r="B652" s="13" t="s">
        <v>256</v>
      </c>
      <c r="C652" s="13" t="n">
        <v>2</v>
      </c>
      <c r="D652" s="13" t="n">
        <v>1</v>
      </c>
      <c r="E652" s="13"/>
      <c r="F652" s="12" t="s">
        <v>81</v>
      </c>
      <c r="G652" s="12" t="s">
        <v>194</v>
      </c>
      <c r="H652" s="12" t="s">
        <v>1504</v>
      </c>
      <c r="I652" s="15" t="s">
        <v>1639</v>
      </c>
    </row>
    <row r="653" customFormat="false" ht="15" hidden="false" customHeight="false" outlineLevel="0" collapsed="false">
      <c r="A653" s="12" t="s">
        <v>183</v>
      </c>
      <c r="B653" s="13" t="s">
        <v>1501</v>
      </c>
      <c r="C653" s="13" t="n">
        <v>1</v>
      </c>
      <c r="D653" s="13"/>
      <c r="E653" s="13" t="n">
        <v>8</v>
      </c>
      <c r="F653" s="12" t="s">
        <v>83</v>
      </c>
      <c r="G653" s="12" t="s">
        <v>194</v>
      </c>
      <c r="H653" s="12" t="s">
        <v>1504</v>
      </c>
      <c r="I653" s="15" t="s">
        <v>1639</v>
      </c>
    </row>
    <row r="654" customFormat="false" ht="15" hidden="false" customHeight="false" outlineLevel="0" collapsed="false">
      <c r="A654" s="12" t="s">
        <v>183</v>
      </c>
      <c r="B654" s="13" t="s">
        <v>1558</v>
      </c>
      <c r="C654" s="13" t="n">
        <v>1</v>
      </c>
      <c r="D654" s="13"/>
      <c r="E654" s="13"/>
      <c r="F654" s="12" t="s">
        <v>81</v>
      </c>
      <c r="G654" s="12" t="s">
        <v>194</v>
      </c>
      <c r="H654" s="12" t="s">
        <v>1504</v>
      </c>
      <c r="I654" s="15" t="s">
        <v>1639</v>
      </c>
    </row>
    <row r="655" customFormat="false" ht="15" hidden="false" customHeight="false" outlineLevel="0" collapsed="false">
      <c r="A655" s="12" t="s">
        <v>183</v>
      </c>
      <c r="B655" s="13" t="s">
        <v>1514</v>
      </c>
      <c r="C655" s="13" t="n">
        <v>2</v>
      </c>
      <c r="D655" s="13"/>
      <c r="E655" s="13"/>
      <c r="F655" s="12" t="s">
        <v>81</v>
      </c>
      <c r="G655" s="12" t="s">
        <v>194</v>
      </c>
      <c r="H655" s="12" t="s">
        <v>1504</v>
      </c>
      <c r="I655" s="15" t="s">
        <v>1639</v>
      </c>
    </row>
    <row r="656" customFormat="false" ht="15" hidden="false" customHeight="false" outlineLevel="0" collapsed="false">
      <c r="A656" s="12" t="s">
        <v>183</v>
      </c>
      <c r="B656" s="13" t="s">
        <v>255</v>
      </c>
      <c r="C656" s="13"/>
      <c r="D656" s="13"/>
      <c r="E656" s="13" t="n">
        <v>1</v>
      </c>
      <c r="F656" s="12" t="s">
        <v>83</v>
      </c>
      <c r="G656" s="12" t="s">
        <v>194</v>
      </c>
      <c r="H656" s="12" t="s">
        <v>1504</v>
      </c>
      <c r="I656" s="15" t="s">
        <v>1639</v>
      </c>
    </row>
    <row r="657" customFormat="false" ht="15" hidden="false" customHeight="false" outlineLevel="0" collapsed="false">
      <c r="A657" s="12" t="s">
        <v>183</v>
      </c>
      <c r="B657" s="13" t="s">
        <v>1515</v>
      </c>
      <c r="C657" s="13"/>
      <c r="D657" s="13" t="n">
        <v>1</v>
      </c>
      <c r="E657" s="13"/>
      <c r="F657" s="12" t="s">
        <v>82</v>
      </c>
      <c r="G657" s="12" t="s">
        <v>194</v>
      </c>
      <c r="H657" s="12" t="s">
        <v>1504</v>
      </c>
      <c r="I657" s="15" t="s">
        <v>1639</v>
      </c>
    </row>
    <row r="658" customFormat="false" ht="15" hidden="false" customHeight="false" outlineLevel="0" collapsed="false">
      <c r="A658" s="12" t="s">
        <v>183</v>
      </c>
      <c r="B658" s="13" t="s">
        <v>490</v>
      </c>
      <c r="C658" s="13" t="n">
        <v>3</v>
      </c>
      <c r="D658" s="13"/>
      <c r="E658" s="13"/>
      <c r="F658" s="12" t="s">
        <v>81</v>
      </c>
      <c r="G658" s="12" t="s">
        <v>194</v>
      </c>
      <c r="H658" s="12" t="s">
        <v>1504</v>
      </c>
      <c r="I658" s="15" t="s">
        <v>1639</v>
      </c>
    </row>
    <row r="659" customFormat="false" ht="15" hidden="false" customHeight="false" outlineLevel="0" collapsed="false">
      <c r="A659" s="12" t="s">
        <v>183</v>
      </c>
      <c r="B659" s="13" t="s">
        <v>1519</v>
      </c>
      <c r="C659" s="13" t="n">
        <v>1</v>
      </c>
      <c r="D659" s="13" t="n">
        <v>3</v>
      </c>
      <c r="E659" s="13" t="n">
        <v>2</v>
      </c>
      <c r="F659" s="12" t="s">
        <v>82</v>
      </c>
      <c r="G659" s="12" t="s">
        <v>194</v>
      </c>
      <c r="H659" s="12" t="s">
        <v>1504</v>
      </c>
      <c r="I659" s="15" t="s">
        <v>1639</v>
      </c>
    </row>
    <row r="660" customFormat="false" ht="15" hidden="false" customHeight="false" outlineLevel="0" collapsed="false">
      <c r="A660" s="12" t="s">
        <v>183</v>
      </c>
      <c r="B660" s="13" t="s">
        <v>1520</v>
      </c>
      <c r="C660" s="13" t="n">
        <v>1</v>
      </c>
      <c r="D660" s="13"/>
      <c r="E660" s="13"/>
      <c r="F660" s="12" t="s">
        <v>81</v>
      </c>
      <c r="G660" s="12" t="s">
        <v>194</v>
      </c>
      <c r="H660" s="12" t="s">
        <v>1504</v>
      </c>
      <c r="I660" s="15" t="s">
        <v>1639</v>
      </c>
    </row>
    <row r="661" customFormat="false" ht="15" hidden="false" customHeight="false" outlineLevel="0" collapsed="false">
      <c r="A661" s="12" t="s">
        <v>183</v>
      </c>
      <c r="B661" s="13" t="s">
        <v>367</v>
      </c>
      <c r="C661" s="13"/>
      <c r="D661" s="13"/>
      <c r="E661" s="13" t="n">
        <v>2</v>
      </c>
      <c r="F661" s="12" t="s">
        <v>83</v>
      </c>
      <c r="G661" s="12" t="s">
        <v>194</v>
      </c>
      <c r="H661" s="12" t="s">
        <v>1504</v>
      </c>
      <c r="I661" s="15" t="s">
        <v>1639</v>
      </c>
    </row>
    <row r="662" customFormat="false" ht="15" hidden="false" customHeight="false" outlineLevel="0" collapsed="false">
      <c r="A662" s="12" t="s">
        <v>183</v>
      </c>
      <c r="B662" s="13" t="s">
        <v>1522</v>
      </c>
      <c r="C662" s="13" t="n">
        <v>2</v>
      </c>
      <c r="D662" s="13"/>
      <c r="E662" s="13"/>
      <c r="F662" s="12" t="s">
        <v>81</v>
      </c>
      <c r="G662" s="12" t="s">
        <v>194</v>
      </c>
      <c r="H662" s="12" t="s">
        <v>1504</v>
      </c>
      <c r="I662" s="15" t="s">
        <v>1639</v>
      </c>
    </row>
    <row r="663" customFormat="false" ht="15" hidden="false" customHeight="false" outlineLevel="0" collapsed="false">
      <c r="A663" s="12" t="s">
        <v>183</v>
      </c>
      <c r="B663" s="13" t="s">
        <v>377</v>
      </c>
      <c r="C663" s="13" t="n">
        <v>3</v>
      </c>
      <c r="D663" s="13" t="n">
        <v>1</v>
      </c>
      <c r="E663" s="13"/>
      <c r="F663" s="12" t="s">
        <v>81</v>
      </c>
      <c r="G663" s="12" t="s">
        <v>194</v>
      </c>
      <c r="H663" s="12" t="s">
        <v>1504</v>
      </c>
      <c r="I663" s="15" t="s">
        <v>1639</v>
      </c>
    </row>
    <row r="664" customFormat="false" ht="15" hidden="false" customHeight="false" outlineLevel="0" collapsed="false">
      <c r="A664" s="12" t="s">
        <v>183</v>
      </c>
      <c r="B664" s="13" t="s">
        <v>1523</v>
      </c>
      <c r="C664" s="13" t="n">
        <v>2</v>
      </c>
      <c r="D664" s="13"/>
      <c r="E664" s="13" t="n">
        <v>4</v>
      </c>
      <c r="F664" s="12" t="s">
        <v>83</v>
      </c>
      <c r="G664" s="12" t="s">
        <v>194</v>
      </c>
      <c r="H664" s="12" t="s">
        <v>1504</v>
      </c>
      <c r="I664" s="15" t="s">
        <v>1639</v>
      </c>
    </row>
    <row r="665" customFormat="false" ht="15" hidden="false" customHeight="false" outlineLevel="0" collapsed="false">
      <c r="A665" s="12" t="s">
        <v>183</v>
      </c>
      <c r="B665" s="13" t="s">
        <v>1525</v>
      </c>
      <c r="C665" s="13" t="n">
        <v>1</v>
      </c>
      <c r="D665" s="13"/>
      <c r="E665" s="13"/>
      <c r="F665" s="12" t="s">
        <v>81</v>
      </c>
      <c r="G665" s="12" t="s">
        <v>194</v>
      </c>
      <c r="H665" s="12" t="s">
        <v>1504</v>
      </c>
      <c r="I665" s="15" t="s">
        <v>1639</v>
      </c>
    </row>
    <row r="666" customFormat="false" ht="15" hidden="false" customHeight="false" outlineLevel="0" collapsed="false">
      <c r="A666" s="12" t="s">
        <v>183</v>
      </c>
      <c r="B666" s="13" t="s">
        <v>305</v>
      </c>
      <c r="C666" s="13"/>
      <c r="D666" s="13" t="n">
        <v>2</v>
      </c>
      <c r="E666" s="13" t="n">
        <v>1</v>
      </c>
      <c r="F666" s="12" t="s">
        <v>82</v>
      </c>
      <c r="G666" s="12" t="s">
        <v>194</v>
      </c>
      <c r="H666" s="12" t="s">
        <v>1504</v>
      </c>
      <c r="I666" s="15" t="s">
        <v>1639</v>
      </c>
    </row>
    <row r="667" customFormat="false" ht="15" hidden="false" customHeight="false" outlineLevel="0" collapsed="false">
      <c r="A667" s="12" t="s">
        <v>183</v>
      </c>
      <c r="B667" s="13" t="s">
        <v>1526</v>
      </c>
      <c r="C667" s="13"/>
      <c r="D667" s="13"/>
      <c r="E667" s="13" t="n">
        <v>1</v>
      </c>
      <c r="F667" s="12" t="s">
        <v>83</v>
      </c>
      <c r="G667" s="12" t="s">
        <v>194</v>
      </c>
      <c r="H667" s="12" t="s">
        <v>1504</v>
      </c>
      <c r="I667" s="15" t="s">
        <v>1639</v>
      </c>
    </row>
    <row r="668" customFormat="false" ht="15" hidden="false" customHeight="false" outlineLevel="0" collapsed="false">
      <c r="A668" s="12" t="s">
        <v>183</v>
      </c>
      <c r="B668" s="13" t="s">
        <v>316</v>
      </c>
      <c r="C668" s="13" t="n">
        <v>6</v>
      </c>
      <c r="D668" s="13" t="n">
        <v>1</v>
      </c>
      <c r="E668" s="13" t="n">
        <v>7</v>
      </c>
      <c r="F668" s="12" t="s">
        <v>83</v>
      </c>
      <c r="G668" s="12" t="s">
        <v>194</v>
      </c>
      <c r="H668" s="12" t="s">
        <v>1504</v>
      </c>
      <c r="I668" s="15" t="s">
        <v>1639</v>
      </c>
    </row>
    <row r="669" customFormat="false" ht="15" hidden="false" customHeight="false" outlineLevel="0" collapsed="false">
      <c r="A669" s="12" t="s">
        <v>183</v>
      </c>
      <c r="B669" s="13" t="s">
        <v>1528</v>
      </c>
      <c r="C669" s="13"/>
      <c r="D669" s="13"/>
      <c r="E669" s="13" t="n">
        <v>2</v>
      </c>
      <c r="F669" s="12" t="s">
        <v>83</v>
      </c>
      <c r="G669" s="12" t="s">
        <v>194</v>
      </c>
      <c r="H669" s="12" t="s">
        <v>1504</v>
      </c>
      <c r="I669" s="15" t="s">
        <v>1639</v>
      </c>
    </row>
    <row r="670" customFormat="false" ht="15" hidden="false" customHeight="false" outlineLevel="0" collapsed="false">
      <c r="A670" s="12" t="s">
        <v>183</v>
      </c>
      <c r="B670" s="13" t="s">
        <v>1529</v>
      </c>
      <c r="C670" s="13"/>
      <c r="D670" s="13" t="n">
        <v>1</v>
      </c>
      <c r="E670" s="13"/>
      <c r="F670" s="12" t="s">
        <v>82</v>
      </c>
      <c r="G670" s="12" t="s">
        <v>194</v>
      </c>
      <c r="H670" s="12" t="s">
        <v>1504</v>
      </c>
      <c r="I670" s="15" t="s">
        <v>1639</v>
      </c>
    </row>
    <row r="671" customFormat="false" ht="23.85" hidden="false" customHeight="false" outlineLevel="0" collapsed="false">
      <c r="A671" s="12" t="s">
        <v>1640</v>
      </c>
      <c r="B671" s="13" t="s">
        <v>316</v>
      </c>
      <c r="C671" s="13" t="s">
        <v>1186</v>
      </c>
      <c r="D671" s="13"/>
      <c r="E671" s="13"/>
      <c r="F671" s="12" t="s">
        <v>81</v>
      </c>
      <c r="G671" s="12" t="s">
        <v>170</v>
      </c>
      <c r="H671" s="12" t="s">
        <v>1494</v>
      </c>
      <c r="I671" s="15" t="s">
        <v>1495</v>
      </c>
    </row>
    <row r="673" customFormat="false" ht="15" hidden="false" customHeight="false" outlineLevel="0" collapsed="false">
      <c r="A673" s="19" t="s">
        <v>1641</v>
      </c>
    </row>
  </sheetData>
  <autoFilter ref="A1:I671"/>
  <hyperlinks>
    <hyperlink ref="I2" r:id="rId1" display="https://ficoforums.myfico.com/t5/General-Credit-Topics/Which-Report-Will-They-Pull-Part-2/td-p/6379773"/>
    <hyperlink ref="I3" r:id="rId2" display="https://ficoforums.myfico.com/t5/General-Credit-Topics/Which-Report-Will-They-Pull-Part-2/td-p/6379773"/>
    <hyperlink ref="I4" r:id="rId3" display="https://ficoforums.myfico.com/t5/General-Credit-Topics/Which-Report-Will-They-Pull-Part-2/td-p/6379773"/>
    <hyperlink ref="I5" r:id="rId4" display="https://ficoforums.myfico.com/t5/General-Credit-Topics/Which-Report-Will-They-Pull-Part-2/td-p/6379773"/>
    <hyperlink ref="I6" r:id="rId5" display="https://ficoforums.myfico.com/t5/General-Credit-Topics/Which-Report-Will-They-Pull-Part-2/td-p/6379773"/>
    <hyperlink ref="I7" r:id="rId6" display="https://ficoforums.myfico.com/t5/General-Credit-Topics/Which-Report-Will-They-Pull-Part-2/td-p/6379773"/>
    <hyperlink ref="I8" r:id="rId7" display="https://ficoforums.myfico.com/t5/General-Credit-Topics/Which-Report-Will-They-Pull-Part-2/td-p/6379773"/>
    <hyperlink ref="I9" r:id="rId8" display="https://www.doctorofcredit.com/credit-bureau-american-express-pull"/>
    <hyperlink ref="I10" r:id="rId9" display="https://www.doctorofcredit.com/credit-bureau-american-express-pull"/>
    <hyperlink ref="I11" r:id="rId10" display="https://www.doctorofcredit.com/credit-bureau-american-express-pull"/>
    <hyperlink ref="I12" r:id="rId11" display="https://www.doctorofcredit.com/credit-bureau-american-express-pull"/>
    <hyperlink ref="I13" r:id="rId12" display="https://ficoforums.myfico.com/t5/General-Credit-Topics/Which-Report-Will-They-Pull-Part-2/td-p/6379773"/>
    <hyperlink ref="I14" r:id="rId13" display="https://www.doctorofcredit.com/credit-bureau-american-express-pull"/>
    <hyperlink ref="I15" r:id="rId14" display="https://www.doctorofcredit.com/credit-bureau-american-express-pull"/>
    <hyperlink ref="I16" r:id="rId15" display="https://www.doctorofcredit.com/credit-bureau-american-express-pull"/>
    <hyperlink ref="I17" r:id="rId16" display="https://www.doctorofcredit.com/credit-bureau-american-express-pull"/>
    <hyperlink ref="I18" r:id="rId17" display="https://ficoforums.myfico.com/t5/General-Credit-Topics/Which-Report-Will-They-Pull-Part-2/td-p/6379773"/>
    <hyperlink ref="I19" r:id="rId18" display="https://www.doctorofcredit.com/credit-bureau-american-express-pull"/>
    <hyperlink ref="I20" r:id="rId19" display="https://ficoforums.myfico.com/t5/General-Credit-Topics/Which-Report-Will-They-Pull-Part-2/td-p/6379773"/>
    <hyperlink ref="I21" r:id="rId20" display="https://www.doctorofcredit.com/credit-bureau-american-express-pull"/>
    <hyperlink ref="I22" r:id="rId21" display="https://ficoforums.myfico.com/t5/General-Credit-Topics/Which-Report-Will-They-Pull-Part-2/td-p/6379773"/>
    <hyperlink ref="I23" r:id="rId22" display="https://www.doctorofcredit.com/credit-bureau-american-express-pull"/>
    <hyperlink ref="I24" r:id="rId23" display="https://ficoforums.myfico.com/t5/General-Credit-Topics/Which-Report-Will-They-Pull-Part-2/td-p/6379773"/>
    <hyperlink ref="I25" r:id="rId24" display="https://www.doctorofcredit.com/credit-bureau-american-express-pull"/>
    <hyperlink ref="I26" r:id="rId25" display="https://www.doctorofcredit.com/credit-bureau-american-express-pull"/>
    <hyperlink ref="I27" r:id="rId26" display="https://ficoforums.myfico.com/t5/General-Credit-Topics/Which-Report-Will-They-Pull-Part-2/td-p/6379773"/>
    <hyperlink ref="I28" r:id="rId27" display="https://www.doctorofcredit.com/credit-bureau-american-express-pull"/>
    <hyperlink ref="I29" r:id="rId28" display="https://www.doctorofcredit.com/credit-bureau-american-express-pull"/>
    <hyperlink ref="I30" r:id="rId29" display="https://ficoforums.myfico.com/t5/General-Credit-Topics/Which-Report-Will-They-Pull-Part-2/td-p/6379773"/>
    <hyperlink ref="I31" r:id="rId30" display="https://www.doctorofcredit.com/credit-bureau-american-express-pull"/>
    <hyperlink ref="I32" r:id="rId31" display="https://www.doctorofcredit.com/credit-bureau-american-express-pull"/>
    <hyperlink ref="I33" r:id="rId32" display="https://www.doctorofcredit.com/credit-bureau-american-express-pull"/>
    <hyperlink ref="I34" r:id="rId33" display="https://www.doctorofcredit.com/credit-bureau-american-express-pull"/>
    <hyperlink ref="I35" r:id="rId34" display="https://www.doctorofcredit.com/credit-bureau-american-express-pull"/>
    <hyperlink ref="I36" r:id="rId35" display="https://www.doctorofcredit.com/credit-bureau-american-express-pull"/>
    <hyperlink ref="I37" r:id="rId36" display="https://www.doctorofcredit.com/credit-bureau-american-express-pull"/>
    <hyperlink ref="I38" r:id="rId37" display="https://www.doctorofcredit.com/credit-bureau-american-express-pull"/>
    <hyperlink ref="I39" r:id="rId38" display="https://ficoforums.myfico.com/t5/General-Credit-Topics/Which-Report-Will-They-Pull-Part-2/td-p/6379773"/>
    <hyperlink ref="I40" r:id="rId39" display="https://www.doctorofcredit.com/credit-bureau-american-express-pull"/>
    <hyperlink ref="I41" r:id="rId40" display="https://www.doctorofcredit.com/credit-bureau-american-express-pull"/>
    <hyperlink ref="I42" r:id="rId41" display="https://ficoforums.myfico.com/t5/General-Credit-Topics/Which-Report-Will-They-Pull-Part-2/td-p/6379773"/>
    <hyperlink ref="I43" r:id="rId42" display="https://www.doctorofcredit.com/credit-bureau-american-express-pull"/>
    <hyperlink ref="I44" r:id="rId43" display="https://www.doctorofcredit.com/credit-bureau-american-express-pull"/>
    <hyperlink ref="I45" r:id="rId44" display="https://www.doctorofcredit.com/credit-bureau-american-express-pull"/>
    <hyperlink ref="I46" r:id="rId45" display="https://ficoforums.myfico.com/t5/General-Credit-Topics/Which-Report-Will-They-Pull-Part-2/td-p/6379773"/>
    <hyperlink ref="I47" r:id="rId46" display="https://www.doctorofcredit.com/credit-bureau-american-express-pull"/>
    <hyperlink ref="I48" r:id="rId47" display="https://ficoforums.myfico.com/t5/General-Credit-Topics/Which-Report-Will-They-Pull-Part-2/td-p/6379773"/>
    <hyperlink ref="I49" r:id="rId48" display="https://www.doctorofcredit.com/credit-bureau-american-express-pull"/>
    <hyperlink ref="I50" r:id="rId49" display="https://ficoforums.myfico.com/t5/General-Credit-Topics/Which-Report-Will-They-Pull-Part-2/td-p/6379773"/>
    <hyperlink ref="I51" r:id="rId50" display="https://www.doctorofcredit.com/credit-bureau-american-express-pull"/>
    <hyperlink ref="I52" r:id="rId51" display="https://www.doctorofcredit.com/credit-bureau-american-express-pull"/>
    <hyperlink ref="I53" r:id="rId52" display="https://ficoforums.myfico.com/t5/General-Credit-Topics/Which-Report-Will-They-Pull-Part-2/td-p/6379773"/>
    <hyperlink ref="I54" r:id="rId53" display="https://www.doctorofcredit.com/credit-bureau-american-express-pull"/>
    <hyperlink ref="I55" r:id="rId54" display="https://ficoforums.myfico.com/t5/General-Credit-Topics/Which-Report-Will-They-Pull-Part-2/td-p/6379773"/>
    <hyperlink ref="I56" r:id="rId55" display="https://www.doctorofcredit.com/credit-bureau-american-express-pull"/>
    <hyperlink ref="I57" r:id="rId56" display="https://www.doctorofcredit.com/credit-bureau-american-express-pull"/>
    <hyperlink ref="I58" r:id="rId57" display="https://ficoforums.myfico.com/t5/General-Credit-Topics/Which-Report-Will-They-Pull-Part-2/td-p/6379773"/>
    <hyperlink ref="I59" r:id="rId58" display="https://www.doctorofcredit.com/credit-bureau-american-express-pull"/>
    <hyperlink ref="I60" r:id="rId59" display="https://www.doctorofcredit.com/credit-bureau-american-express-pull"/>
    <hyperlink ref="I61" r:id="rId60" display="https://ficoforums.myfico.com/t5/General-Credit-Topics/Which-Report-Will-They-Pull-Part-2/td-p/6379773"/>
    <hyperlink ref="I62" r:id="rId61" display="https://www.doctorofcredit.com/credit-bureau-american-express-pull"/>
    <hyperlink ref="I63" r:id="rId62" display="https://ficoforums.myfico.com/t5/General-Credit-Topics/Which-Report-Will-They-Pull-Part-2/td-p/6379773"/>
    <hyperlink ref="I64" r:id="rId63" display="https://www.doctorofcredit.com/credit-bureau-american-express-pull"/>
    <hyperlink ref="I65" r:id="rId64" display="https://ficoforums.myfico.com/t5/General-Credit-Topics/Which-Report-Will-They-Pull-Part-2/td-p/6379773"/>
    <hyperlink ref="I66" r:id="rId65" display="https://ficoforums.myfico.com/t5/General-Credit-Topics/Which-Report-Will-They-Pull-Part-2/td-p/6379773"/>
    <hyperlink ref="I67" r:id="rId66" display="https://ficoforums.myfico.com/t5/General-Credit-Topics/Which-Report-Will-They-Pull-Part-2/td-p/6379773"/>
    <hyperlink ref="I68" r:id="rId67" display="https://ficoforums.myfico.com/t5/General-Credit-Topics/Which-Report-Will-They-Pull-Part-2/td-p/6379773"/>
    <hyperlink ref="I69" r:id="rId68" display="https://ficoforums.myfico.com/t5/General-Credit-Topics/Which-Report-Will-They-Pull-Part-2/td-p/6379773"/>
    <hyperlink ref="I70" r:id="rId69" display="https://ficoforums.myfico.com/t5/General-Credit-Topics/Which-Report-Will-They-Pull-Part-2/td-p/6379773"/>
    <hyperlink ref="I71" r:id="rId70" display="https://ficoforums.myfico.com/t5/General-Credit-Topics/Which-Report-Will-They-Pull-Part-2/td-p/6379773"/>
    <hyperlink ref="I72" r:id="rId71" display="https://ficoforums.myfico.com/t5/General-Credit-Topics/Which-Report-Will-They-Pull-Part-2/td-p/6379773"/>
    <hyperlink ref="I73" r:id="rId72" display="https://ficoforums.myfico.com/t5/General-Credit-Topics/Which-Report-Will-They-Pull-Part-2/td-p/6379773"/>
    <hyperlink ref="I74" r:id="rId73" display="https://ficoforums.myfico.com/t5/General-Credit-Topics/Which-Report-Will-They-Pull-Part-2/td-p/6379773"/>
    <hyperlink ref="I75" r:id="rId74" display="https://ficoforums.myfico.com/t5/General-Credit-Topics/Which-Report-Will-They-Pull-Part-2/td-p/6379773"/>
    <hyperlink ref="I76" r:id="rId75" display="https://ficoforums.myfico.com/t5/General-Credit-Topics/Which-Report-Will-They-Pull-Part-2/td-p/6379773"/>
    <hyperlink ref="I77" r:id="rId76" display="https://ficoforums.myfico.com/t5/General-Credit-Topics/Which-Report-Will-They-Pull-Part-2/td-p/6379773"/>
    <hyperlink ref="I78" r:id="rId77" display="https://ficoforums.myfico.com/t5/General-Credit-Topics/Which-Report-Will-They-Pull-Part-2/td-p/6379773"/>
    <hyperlink ref="I79" r:id="rId78" display="https://ficoforums.myfico.com/t5/General-Credit-Topics/Which-Report-Will-They-Pull-Part-2/td-p/6379773"/>
    <hyperlink ref="I80" r:id="rId79" display="https://ficoforums.myfico.com/t5/General-Credit-Topics/Which-Report-Will-They-Pull-Part-2/td-p/6379773"/>
    <hyperlink ref="I81" r:id="rId80" display="https://www.doctorofcredit.com/credit-bureau-bank-america-pull/"/>
    <hyperlink ref="I82" r:id="rId81" display="https://www.doctorofcredit.com/credit-bureau-bank-america-pull/"/>
    <hyperlink ref="I83" r:id="rId82" display="https://mybanktracker.com/credit-cards/credit-score/credit-report-bank-of-america-pull-273501"/>
    <hyperlink ref="I84" r:id="rId83" display="https://www.doctorofcredit.com/credit-bureau-bank-america-pull/"/>
    <hyperlink ref="I85" r:id="rId84" display="https://mybanktracker.com/credit-cards/credit-score/credit-report-bank-of-america-pull-273501"/>
    <hyperlink ref="I86" r:id="rId85" display="https://www.doctorofcredit.com/credit-bureau-bank-america-pull/"/>
    <hyperlink ref="I87" r:id="rId86" display="https://mybanktracker.com/credit-cards/credit-score/credit-report-bank-of-america-pull-273501"/>
    <hyperlink ref="I88" r:id="rId87" display="https://www.doctorofcredit.com/credit-bureau-bank-america-pull/"/>
    <hyperlink ref="I89" r:id="rId88" display="https://mybanktracker.com/credit-cards/credit-score/credit-report-bank-of-america-pull-273501"/>
    <hyperlink ref="I90" r:id="rId89" display="https://ficoforums.myfico.com/t5/General-Credit-Topics/Which-Report-Will-They-Pull-Part-2/td-p/6379773"/>
    <hyperlink ref="I91" r:id="rId90" display="https://www.doctorofcredit.com/credit-bureau-bank-america-pull/"/>
    <hyperlink ref="I92" r:id="rId91" display="https://mybanktracker.com/credit-cards/credit-score/credit-report-bank-of-america-pull-273501"/>
    <hyperlink ref="I93" r:id="rId92" display="https://www.doctorofcredit.com/credit-bureau-bank-america-pull/"/>
    <hyperlink ref="I94" r:id="rId93" display="https://www.doctorofcredit.com/credit-bureau-bank-america-pull/"/>
    <hyperlink ref="I95" r:id="rId94" display="https://www.doctorofcredit.com/credit-bureau-bank-america-pull/"/>
    <hyperlink ref="I96" r:id="rId95" display="https://www.doctorofcredit.com/credit-bureau-bank-america-pull/"/>
    <hyperlink ref="I97" r:id="rId96" display="https://mybanktracker.com/credit-cards/credit-score/credit-report-bank-of-america-pull-273501"/>
    <hyperlink ref="I98" r:id="rId97" display="https://ficoforums.myfico.com/t5/General-Credit-Topics/Which-Report-Will-They-Pull-Part-2/td-p/6379773"/>
    <hyperlink ref="I99" r:id="rId98" display="https://www.doctorofcredit.com/credit-bureau-bank-america-pull/"/>
    <hyperlink ref="I100" r:id="rId99" display="https://mybanktracker.com/credit-cards/credit-score/credit-report-bank-of-america-pull-273501"/>
    <hyperlink ref="I101" r:id="rId100" display="https://ficoforums.myfico.com/t5/General-Credit-Topics/Which-Report-Will-They-Pull-Part-2/td-p/6379773"/>
    <hyperlink ref="I102" r:id="rId101" display="https://www.doctorofcredit.com/credit-bureau-bank-america-pull/"/>
    <hyperlink ref="I103" r:id="rId102" display="https://www.doctorofcredit.com/credit-bureau-bank-america-pull/"/>
    <hyperlink ref="I104" r:id="rId103" display="https://ficoforums.myfico.com/t5/General-Credit-Topics/Which-Report-Will-They-Pull-Part-2/td-p/6379773"/>
    <hyperlink ref="I105" r:id="rId104" display="https://www.doctorofcredit.com/credit-bureau-bank-america-pull/"/>
    <hyperlink ref="I106" r:id="rId105" display="https://mybanktracker.com/credit-cards/credit-score/credit-report-bank-of-america-pull-273501"/>
    <hyperlink ref="I107" r:id="rId106" display="https://ficoforums.myfico.com/t5/General-Credit-Topics/Which-Report-Will-They-Pull-Part-2/td-p/6379773"/>
    <hyperlink ref="I108" r:id="rId107" display="https://www.doctorofcredit.com/credit-bureau-bank-america-pull/"/>
    <hyperlink ref="I109" r:id="rId108" display="https://mybanktracker.com/credit-cards/credit-score/credit-report-bank-of-america-pull-273501"/>
    <hyperlink ref="I110" r:id="rId109" display="https://ficoforums.myfico.com/t5/General-Credit-Topics/Which-Report-Will-They-Pull-Part-2/td-p/6379773"/>
    <hyperlink ref="I111" r:id="rId110" display="https://www.doctorofcredit.com/credit-bureau-bank-america-pull/"/>
    <hyperlink ref="I112" r:id="rId111" display="https://www.doctorofcredit.com/credit-bureau-bank-america-pull/"/>
    <hyperlink ref="I113" r:id="rId112" display="https://mybanktracker.com/credit-cards/credit-score/credit-report-bank-of-america-pull-273501"/>
    <hyperlink ref="I114" r:id="rId113" display="https://ficoforums.myfico.com/t5/General-Credit-Topics/Which-Report-Will-They-Pull-Part-2/td-p/6379773"/>
    <hyperlink ref="I115" r:id="rId114" display="https://www.doctorofcredit.com/credit-bureau-bank-america-pull/"/>
    <hyperlink ref="I116" r:id="rId115" display="https://mybanktracker.com/credit-cards/credit-score/credit-report-bank-of-america-pull-273501"/>
    <hyperlink ref="I117" r:id="rId116" display="https://www.doctorofcredit.com/credit-bureau-bank-america-pull/"/>
    <hyperlink ref="I118" r:id="rId117" display="https://www.doctorofcredit.com/credit-bureau-bank-america-pull/"/>
    <hyperlink ref="I119" r:id="rId118" display="https://mybanktracker.com/credit-cards/credit-score/credit-report-bank-of-america-pull-273501"/>
    <hyperlink ref="I120" r:id="rId119" display="https://ficoforums.myfico.com/t5/General-Credit-Topics/Which-Report-Will-They-Pull-Part-2/td-p/6379773"/>
    <hyperlink ref="I121" r:id="rId120" display="https://mybanktracker.com/credit-cards/credit-score/credit-report-bank-of-america-pull-273501"/>
    <hyperlink ref="I122" r:id="rId121" display="https://www.doctorofcredit.com/credit-bureau-bank-america-pull/"/>
    <hyperlink ref="I123" r:id="rId122" display="https://mybanktracker.com/credit-cards/credit-score/credit-report-bank-of-america-pull-273501"/>
    <hyperlink ref="I124" r:id="rId123" display="https://www.doctorofcredit.com/credit-bureau-bank-america-pull/"/>
    <hyperlink ref="I125" r:id="rId124" display="https://mybanktracker.com/credit-cards/credit-score/credit-report-bank-of-america-pull-273501"/>
    <hyperlink ref="I126" r:id="rId125" display="https://ficoforums.myfico.com/t5/General-Credit-Topics/Which-Report-Will-They-Pull-Part-2/td-p/6379773"/>
    <hyperlink ref="I127" r:id="rId126" display="https://www.doctorofcredit.com/credit-bureau-bank-america-pull/"/>
    <hyperlink ref="I128" r:id="rId127" display="https://www.doctorofcredit.com/credit-bureau-bank-america-pull/"/>
    <hyperlink ref="I129" r:id="rId128" display="https://mybanktracker.com/credit-cards/credit-score/credit-report-bank-of-america-pull-273501"/>
    <hyperlink ref="I130" r:id="rId129" display="https://ficoforums.myfico.com/t5/General-Credit-Topics/Which-Report-Will-They-Pull-Part-2/td-p/6379773"/>
    <hyperlink ref="I131" r:id="rId130" display="https://ficoforums.myfico.com/t5/General-Credit-Topics/Which-Report-Will-They-Pull-Part-2/td-p/6379773"/>
    <hyperlink ref="I132" r:id="rId131" display="https://www.doctorofcredit.com/credit-bureau-bank-america-pull/"/>
    <hyperlink ref="I133" r:id="rId132" display="https://mybanktracker.com/credit-cards/credit-score/credit-report-bank-of-america-pull-273501"/>
    <hyperlink ref="I134" r:id="rId133" display="https://www.doctorofcredit.com/credit-bureau-bank-america-pull/"/>
    <hyperlink ref="I135" r:id="rId134" display="https://mybanktracker.com/credit-cards/credit-score/credit-report-bank-of-america-pull-273501"/>
    <hyperlink ref="I136" r:id="rId135" display="https://ficoforums.myfico.com/t5/General-Credit-Topics/Which-Report-Will-They-Pull-Part-2/td-p/6379773"/>
    <hyperlink ref="I137" r:id="rId136" display="https://mybanktracker.com/credit-cards/credit-score/credit-report-bank-of-america-pull-273501"/>
    <hyperlink ref="I138" r:id="rId137" display="https://www.doctorofcredit.com/credit-bureau-bank-america-pull/"/>
    <hyperlink ref="I139" r:id="rId138" display="https://mybanktracker.com/credit-cards/credit-score/credit-report-bank-of-america-pull-273501"/>
    <hyperlink ref="I140" r:id="rId139" display="https://www.doctorofcredit.com/credit-bureau-bank-america-pull/"/>
    <hyperlink ref="I141" r:id="rId140" display="https://mybanktracker.com/credit-cards/credit-score/credit-report-bank-of-america-pull-273501"/>
    <hyperlink ref="I142" r:id="rId141" display="https://ficoforums.myfico.com/t5/General-Credit-Topics/Which-Report-Will-They-Pull-Part-2/td-p/6379773"/>
    <hyperlink ref="I143" r:id="rId142" display="https://www.doctorofcredit.com/credit-bureau-bank-america-pull/"/>
    <hyperlink ref="I144" r:id="rId143" display="https://www.doctorofcredit.com/credit-bureau-bank-america-pull/"/>
    <hyperlink ref="I145" r:id="rId144" display="https://mybanktracker.com/credit-cards/credit-score/credit-report-bank-of-america-pull-273501"/>
    <hyperlink ref="I146" r:id="rId145" display="https://ficoforums.myfico.com/t5/General-Credit-Topics/Which-Report-Will-They-Pull-Part-2/td-p/6379773"/>
    <hyperlink ref="I147" r:id="rId146" display="https://mybanktracker.com/credit-cards/credit-score/credit-report-bank-of-america-pull-273501"/>
    <hyperlink ref="I148" r:id="rId147" display="https://www.doctorofcredit.com/credit-bureau-bank-america-pull/"/>
    <hyperlink ref="I149" r:id="rId148" display="https://mybanktracker.com/credit-cards/credit-score/credit-report-bank-of-america-pull-273501"/>
    <hyperlink ref="I150" r:id="rId149" display="https://ficoforums.myfico.com/t5/General-Credit-Topics/Which-Report-Will-They-Pull-Part-2/td-p/6379773"/>
    <hyperlink ref="I151" r:id="rId150" display="https://www.doctorofcredit.com/credit-bureau-bank-america-pull/"/>
    <hyperlink ref="I152" r:id="rId151" display="https://mybanktracker.com/credit-cards/credit-score/credit-report-bank-of-america-pull-273501"/>
    <hyperlink ref="I153" r:id="rId152" display="https://ficoforums.myfico.com/t5/General-Credit-Topics/Which-Report-Will-They-Pull-Part-2/td-p/6379773"/>
    <hyperlink ref="I154" r:id="rId153" display="https://www.doctorofcredit.com/credit-bureau-bank-america-pull/"/>
    <hyperlink ref="I155" r:id="rId154" display="https://mybanktracker.com/credit-cards/credit-score/credit-report-bank-of-america-pull-273501"/>
    <hyperlink ref="I156" r:id="rId155" display="https://ficoforums.myfico.com/t5/General-Credit-Topics/Which-Report-Will-They-Pull-Part-2/td-p/6379773"/>
    <hyperlink ref="I157" r:id="rId156" display="https://www.doctorofcredit.com/credit-bureau-bank-america-pull/"/>
    <hyperlink ref="I158" r:id="rId157" display="https://ficoforums.myfico.com/t5/General-Credit-Topics/Which-Report-Will-They-Pull-Part-2/td-p/6379773"/>
    <hyperlink ref="I159" r:id="rId158" display="https://ficoforums.myfico.com/t5/General-Credit-Topics/Which-Report-Will-They-Pull-Part-2/td-p/6379773"/>
    <hyperlink ref="I160" r:id="rId159" display="https://ficoforums.myfico.com/t5/General-Credit-Topics/Which-Report-Will-They-Pull-Part-2/td-p/6379773"/>
    <hyperlink ref="I161" r:id="rId160" display="https://ficoforums.myfico.com/t5/General-Credit-Topics/Which-Report-Will-They-Pull-Part-2/td-p/6379773"/>
    <hyperlink ref="I162" r:id="rId161" display="https://ficoforums.myfico.com/t5/General-Credit-Topics/Which-Report-Will-They-Pull-Part-2/td-p/6379773"/>
    <hyperlink ref="I163" r:id="rId162" display="https://ficoforums.myfico.com/t5/General-Credit-Topics/Which-Report-Will-They-Pull-Part-2/td-p/6379773"/>
    <hyperlink ref="I164" r:id="rId163" display="https://ficoforums.myfico.com/t5/General-Credit-Topics/Which-Report-Will-They-Pull-Part-2/td-p/6379773"/>
    <hyperlink ref="I165" r:id="rId164" display="https://ficoforums.myfico.com/t5/General-Credit-Topics/Which-Report-Will-They-Pull-Part-2/td-p/6379773"/>
    <hyperlink ref="I166" r:id="rId165" display="https://ficoforums.myfico.com/t5/General-Credit-Topics/Which-Report-Will-They-Pull-Part-2/td-p/6379773"/>
    <hyperlink ref="I167" r:id="rId166" display="https://ficoforums.myfico.com/t5/General-Credit-Topics/Which-Report-Will-They-Pull-Part-2/td-p/6379773"/>
    <hyperlink ref="I168" r:id="rId167" display="https://ficoforums.myfico.com/t5/General-Credit-Topics/Which-Report-Will-They-Pull-Part-2/td-p/6379773"/>
    <hyperlink ref="I169" r:id="rId168" display="https://ficoforums.myfico.com/t5/General-Credit-Topics/Which-Report-Will-They-Pull-Part-2/td-p/6379773"/>
    <hyperlink ref="I170" r:id="rId169" display="https://ficoforums.myfico.com/t5/General-Credit-Topics/Which-Report-Will-They-Pull-Part-2/td-p/6379773"/>
    <hyperlink ref="I171" r:id="rId170" display="https://ficoforums.myfico.com/t5/General-Credit-Topics/Which-Report-Will-They-Pull-Part-2/td-p/6379773"/>
    <hyperlink ref="I172" r:id="rId171" display="https://ficoforums.myfico.com/t5/General-Credit-Topics/Which-Report-Will-They-Pull-Part-2/td-p/6379773"/>
    <hyperlink ref="I173" r:id="rId172" display="https://ficoforums.myfico.com/t5/General-Credit-Topics/Which-Report-Will-They-Pull-Part-2/td-p/6379773"/>
    <hyperlink ref="I174" r:id="rId173" display="https://ficoforums.myfico.com/t5/General-Credit-Topics/Which-Report-Will-They-Pull-Part-2/td-p/6379773"/>
    <hyperlink ref="I175" r:id="rId174" display="https://ficoforums.myfico.com/t5/General-Credit-Topics/Which-Report-Will-They-Pull-Part-2/td-p/6379773"/>
    <hyperlink ref="I176" r:id="rId175" display="https://ficoforums.myfico.com/t5/General-Credit-Topics/Which-Report-Will-They-Pull-Part-2/td-p/6379773"/>
    <hyperlink ref="I177" r:id="rId176" display="https://ficoforums.myfico.com/t5/General-Credit-Topics/Which-Report-Will-They-Pull-Part-2/td-p/6379773"/>
    <hyperlink ref="I178" r:id="rId177" display="https://ficoforums.myfico.com/t5/General-Credit-Topics/Which-Report-Will-They-Pull-Part-2/td-p/6379773"/>
    <hyperlink ref="I179" r:id="rId178" display="https://ficoforums.myfico.com/t5/General-Credit-Topics/Which-Report-Will-They-Pull-Part-2/td-p/6379773"/>
    <hyperlink ref="I180" r:id="rId179" display="https://ficoforums.myfico.com/t5/General-Credit-Topics/Which-Report-Will-They-Pull-Part-2/td-p/6379773"/>
    <hyperlink ref="I181" r:id="rId180" display="https://ficoforums.myfico.com/t5/General-Credit-Topics/Which-Report-Will-They-Pull-Part-2/td-p/6379773"/>
    <hyperlink ref="I182" r:id="rId181" display="https://ficoforums.myfico.com/t5/General-Credit-Topics/Which-Report-Will-They-Pull-Part-2/td-p/6379773"/>
    <hyperlink ref="I183" r:id="rId182" display="https://ficoforums.myfico.com/t5/General-Credit-Topics/Which-Report-Will-They-Pull-Part-2/td-p/6379773"/>
    <hyperlink ref="I184" r:id="rId183" display="https://ficoforums.myfico.com/t5/General-Credit-Topics/Which-Report-Will-They-Pull-Part-2/td-p/6379773"/>
    <hyperlink ref="I185" r:id="rId184" display="https://ficoforums.myfico.com/t5/General-Credit-Topics/Which-Report-Will-They-Pull-Part-2/td-p/6379773"/>
    <hyperlink ref="I186" r:id="rId185" display="https://ficoforums.myfico.com/t5/General-Credit-Topics/Which-Report-Will-They-Pull-Part-2/td-p/6379773"/>
    <hyperlink ref="I187" r:id="rId186" display="https://ficoforums.myfico.com/t5/General-Credit-Topics/Which-Report-Will-They-Pull-Part-2/td-p/6379773"/>
    <hyperlink ref="I188" r:id="rId187" display="https://ficoforums.myfico.com/t5/General-Credit-Topics/Which-Report-Will-They-Pull-Part-2/td-p/6379773"/>
    <hyperlink ref="I189" r:id="rId188" display="https://ficoforums.myfico.com/t5/General-Credit-Topics/Which-Report-Will-They-Pull-Part-2/td-p/6379773"/>
    <hyperlink ref="I190" r:id="rId189" display="https://ficoforums.myfico.com/t5/General-Credit-Topics/Which-Report-Will-They-Pull-Part-2/td-p/6379773"/>
    <hyperlink ref="I191" r:id="rId190" display="https://ficoforums.myfico.com/t5/General-Credit-Topics/Which-Report-Will-They-Pull-Part-2/td-p/6379773"/>
    <hyperlink ref="I192" r:id="rId191" display="https://ficoforums.myfico.com/t5/General-Credit-Topics/Which-Report-Will-They-Pull-Part-2/td-p/6379773"/>
    <hyperlink ref="I193" r:id="rId192" display="https://ficoforums.myfico.com/t5/General-Credit-Topics/Which-Report-Will-They-Pull-Part-2/td-p/6379773"/>
    <hyperlink ref="I194" r:id="rId193" display="https://ficoforums.myfico.com/t5/General-Credit-Topics/Which-Report-Will-They-Pull-Part-2/td-p/6379773"/>
    <hyperlink ref="I195" r:id="rId194" display="https://ficoforums.myfico.com/t5/General-Credit-Topics/Which-Report-Will-They-Pull-Part-2/td-p/6379773"/>
    <hyperlink ref="I196" r:id="rId195" display="https://ficoforums.myfico.com/t5/General-Credit-Topics/Which-Report-Will-They-Pull-Part-2/td-p/6379773"/>
    <hyperlink ref="I197" r:id="rId196" display="https://ficoforums.myfico.com/t5/General-Credit-Topics/Which-Report-Will-They-Pull-Part-2/td-p/6379773"/>
    <hyperlink ref="I198" r:id="rId197" display="https://ficoforums.myfico.com/t5/General-Credit-Topics/Which-Report-Will-They-Pull-Part-2/td-p/6379773"/>
    <hyperlink ref="I199" r:id="rId198" display="https://ficoforums.myfico.com/t5/General-Credit-Topics/Which-Report-Will-They-Pull-Part-2/td-p/6379773"/>
    <hyperlink ref="I200" r:id="rId199" display="https://ficoforums.myfico.com/t5/General-Credit-Topics/Which-Report-Will-They-Pull-Part-2/td-p/6379773"/>
    <hyperlink ref="I201" r:id="rId200" display="https://ficoforums.myfico.com/t5/General-Credit-Topics/Which-Report-Will-They-Pull-Part-2/td-p/6379773"/>
    <hyperlink ref="I202" r:id="rId201" display="https://ficoforums.myfico.com/t5/General-Credit-Topics/Which-Report-Will-They-Pull-Part-2/td-p/6379773"/>
    <hyperlink ref="I203" r:id="rId202" display="https://ficoforums.myfico.com/t5/General-Credit-Topics/Which-Report-Will-They-Pull-Part-2/td-p/6379773"/>
    <hyperlink ref="I204" r:id="rId203" display="https://ficoforums.myfico.com/t5/General-Credit-Topics/Which-Report-Will-They-Pull-Part-2/td-p/6379773"/>
    <hyperlink ref="I205" r:id="rId204" display="https://ficoforums.myfico.com/t5/General-Credit-Topics/Which-Report-Will-They-Pull-Part-2/td-p/6379773"/>
    <hyperlink ref="I206" r:id="rId205" display="https://ficoforums.myfico.com/t5/General-Credit-Topics/Which-Report-Will-They-Pull-Part-2/td-p/6379773"/>
    <hyperlink ref="I207" r:id="rId206" display="https://ficoforums.myfico.com/t5/General-Credit-Topics/Which-Report-Will-They-Pull-Part-2/td-p/6379773"/>
    <hyperlink ref="I208" r:id="rId207" display="https://ficoforums.myfico.com/t5/General-Credit-Topics/Which-Report-Will-They-Pull-Part-2/td-p/6379773"/>
    <hyperlink ref="I209" r:id="rId208" display="https://ficoforums.myfico.com/t5/General-Credit-Topics/Which-Report-Will-They-Pull-Part-2/td-p/6379773"/>
    <hyperlink ref="I210" r:id="rId209" display="https://ficoforums.myfico.com/t5/General-Credit-Topics/Which-Report-Will-They-Pull-Part-2/td-p/6379773"/>
    <hyperlink ref="I211" r:id="rId210" display="https://ficoforums.myfico.com/t5/General-Credit-Topics/Which-Report-Will-They-Pull-Part-2/td-p/6379773"/>
    <hyperlink ref="I212" r:id="rId211" display="https://ficoforums.myfico.com/t5/General-Credit-Topics/Which-Report-Will-They-Pull-Part-2/td-p/6379773"/>
    <hyperlink ref="I213" r:id="rId212" display="https://ficoforums.myfico.com/t5/General-Credit-Topics/Which-Report-Will-They-Pull-Part-2/td-p/6379773"/>
    <hyperlink ref="I214" r:id="rId213" display="https://ficoforums.myfico.com/t5/General-Credit-Topics/Which-Report-Will-They-Pull-Part-2/td-p/6379773"/>
    <hyperlink ref="I215" r:id="rId214" display="https://ficoforums.myfico.com/t5/General-Credit-Topics/Which-Report-Will-They-Pull-Part-2/td-p/6379773"/>
    <hyperlink ref="I216" r:id="rId215" display="https://ficoforums.myfico.com/t5/General-Credit-Topics/Which-Report-Will-They-Pull-Part-2/td-p/6379773"/>
    <hyperlink ref="I217" r:id="rId216" display="https://ficoforums.myfico.com/t5/General-Credit-Topics/Which-Report-Will-They-Pull-Part-2/td-p/6379773"/>
    <hyperlink ref="I218" r:id="rId217" display="https://ficoforums.myfico.com/t5/General-Credit-Topics/Which-Report-Will-They-Pull-Part-2/td-p/6379773"/>
    <hyperlink ref="I219" r:id="rId218" display="https://ficoforums.myfico.com/t5/General-Credit-Topics/Which-Report-Will-They-Pull-Part-2/td-p/6379773"/>
    <hyperlink ref="I220" r:id="rId219" display="https://ficoforums.myfico.com/t5/General-Credit-Topics/Which-Report-Will-They-Pull-Part-2/td-p/6379773"/>
    <hyperlink ref="I221" r:id="rId220" display="https://ficoforums.myfico.com/t5/General-Credit-Topics/Which-Report-Will-They-Pull-Part-2/td-p/6379773"/>
    <hyperlink ref="I222" r:id="rId221" display="https://ficoforums.myfico.com/t5/General-Credit-Topics/Which-Report-Will-They-Pull-Part-2/td-p/6379773"/>
    <hyperlink ref="I223" r:id="rId222" display="https://ficoforums.myfico.com/t5/General-Credit-Topics/Which-Report-Will-They-Pull-Part-2/td-p/6379773"/>
    <hyperlink ref="I224" r:id="rId223" display="https://ficoforums.myfico.com/t5/General-Credit-Topics/Which-Report-Will-They-Pull-Part-2/td-p/6379773"/>
    <hyperlink ref="I225" r:id="rId224" display="https://ficoforums.myfico.com/t5/General-Credit-Topics/Which-Report-Will-They-Pull-Part-2/td-p/6379773"/>
    <hyperlink ref="I226" r:id="rId225" display="https://ficoforums.myfico.com/t5/General-Credit-Topics/Which-Report-Will-They-Pull-Part-2/td-p/6379773"/>
    <hyperlink ref="I227" r:id="rId226" display="https://ficoforums.myfico.com/t5/General-Credit-Topics/Which-Report-Will-They-Pull-Part-2/td-p/6379773"/>
    <hyperlink ref="I228" r:id="rId227" display="https://ficoforums.myfico.com/t5/General-Credit-Topics/Which-Report-Will-They-Pull-Part-2/td-p/6379773"/>
    <hyperlink ref="I229" r:id="rId228" display="https://ficoforums.myfico.com/t5/General-Credit-Topics/Which-Report-Will-They-Pull-Part-2/td-p/6379773"/>
    <hyperlink ref="I230" r:id="rId229" display="https://ficoforums.myfico.com/t5/General-Credit-Topics/Which-Report-Will-They-Pull-Part-2/td-p/6379773"/>
    <hyperlink ref="I231" r:id="rId230" display="https://ficoforums.myfico.com/t5/General-Credit-Topics/Which-Report-Will-They-Pull-Part-2/td-p/6379773"/>
    <hyperlink ref="I232" r:id="rId231" display="https://ficoforums.myfico.com/t5/General-Credit-Topics/Which-Report-Will-They-Pull-Part-2/td-p/6379773"/>
    <hyperlink ref="I233" r:id="rId232" display="https://ficoforums.myfico.com/t5/General-Credit-Topics/Which-Report-Will-They-Pull-Part-2/td-p/6379773"/>
    <hyperlink ref="I234" r:id="rId233" display="https://ficoforums.myfico.com/t5/General-Credit-Topics/Which-Report-Will-They-Pull-Part-2/td-p/6379773"/>
    <hyperlink ref="I235" r:id="rId234" display="https://ficoforums.myfico.com/t5/General-Credit-Topics/Which-Report-Will-They-Pull-Part-2/td-p/6379773"/>
    <hyperlink ref="I236" r:id="rId235" display="https://ficoforums.myfico.com/t5/General-Credit-Topics/Which-Report-Will-They-Pull-Part-2/td-p/6379773"/>
    <hyperlink ref="I237" r:id="rId236" display="https://ficoforums.myfico.com/t5/General-Credit-Topics/Which-Report-Will-They-Pull-Part-2/td-p/6379773"/>
    <hyperlink ref="I238" r:id="rId237" display="https://ficoforums.myfico.com/t5/General-Credit-Topics/Which-Report-Will-They-Pull-Part-2/td-p/6379773"/>
    <hyperlink ref="I239" r:id="rId238" display="https://www.doctorofcredit.com/credit-bureau-citibank-pull/"/>
    <hyperlink ref="I240" r:id="rId239" display="https://www.doctorofcredit.com/credit-bureau-citibank-pull/"/>
    <hyperlink ref="I241" r:id="rId240" display="https://www.doctorofcredit.com/credit-bureau-citibank-pull/"/>
    <hyperlink ref="I242" r:id="rId241" display="https://www.doctorofcredit.com/credit-bureau-citibank-pull/"/>
    <hyperlink ref="I243" r:id="rId242" display="https://www.doctorofcredit.com/credit-bureau-citibank-pull/"/>
    <hyperlink ref="I244" r:id="rId243" display="https://www.doctorofcredit.com/credit-bureau-citibank-pull/"/>
    <hyperlink ref="I245" r:id="rId244" display="https://www.doctorofcredit.com/credit-bureau-citibank-pull/"/>
    <hyperlink ref="I246" r:id="rId245" display="https://www.doctorofcredit.com/credit-bureau-citibank-pull/"/>
    <hyperlink ref="I247" r:id="rId246" display="https://www.doctorofcredit.com/credit-bureau-citibank-pull/"/>
    <hyperlink ref="I248" r:id="rId247" display="https://www.doctorofcredit.com/credit-bureau-citibank-pull/"/>
    <hyperlink ref="I249" r:id="rId248" display="https://www.doctorofcredit.com/credit-bureau-citibank-pull/"/>
    <hyperlink ref="I250" r:id="rId249" display="https://www.doctorofcredit.com/credit-bureau-citibank-pull/"/>
    <hyperlink ref="I251" r:id="rId250" display="https://www.doctorofcredit.com/credit-bureau-citibank-pull/"/>
    <hyperlink ref="I252" r:id="rId251" display="https://www.doctorofcredit.com/credit-bureau-citibank-pull/"/>
    <hyperlink ref="I253" r:id="rId252" display="https://www.doctorofcredit.com/credit-bureau-citibank-pull/"/>
    <hyperlink ref="I254" r:id="rId253" display="https://www.doctorofcredit.com/credit-bureau-citibank-pull/"/>
    <hyperlink ref="I255" r:id="rId254" display="https://www.doctorofcredit.com/credit-bureau-citibank-pull/"/>
    <hyperlink ref="I256" r:id="rId255" display="https://www.doctorofcredit.com/credit-bureau-citibank-pull/"/>
    <hyperlink ref="I257" r:id="rId256" display="https://www.doctorofcredit.com/credit-bureau-citibank-pull/"/>
    <hyperlink ref="I258" r:id="rId257" display="https://www.doctorofcredit.com/credit-bureau-citibank-pull/"/>
    <hyperlink ref="I259" r:id="rId258" display="https://www.doctorofcredit.com/credit-bureau-citibank-pull/"/>
    <hyperlink ref="I260" r:id="rId259" display="https://www.doctorofcredit.com/credit-bureau-citibank-pull/"/>
    <hyperlink ref="I261" r:id="rId260" display="https://www.doctorofcredit.com/credit-bureau-citibank-pull/"/>
    <hyperlink ref="I262" r:id="rId261" display="https://www.doctorofcredit.com/credit-bureau-citibank-pull/"/>
    <hyperlink ref="I263" r:id="rId262" display="https://www.doctorofcredit.com/credit-bureau-citibank-pull/"/>
    <hyperlink ref="I264" r:id="rId263" display="https://www.doctorofcredit.com/credit-bureau-citibank-pull/"/>
    <hyperlink ref="I265" r:id="rId264" display="https://www.doctorofcredit.com/credit-bureau-citibank-pull/"/>
    <hyperlink ref="I266" r:id="rId265" display="https://www.doctorofcredit.com/credit-bureau-citibank-pull/"/>
    <hyperlink ref="I267" r:id="rId266" display="https://www.doctorofcredit.com/credit-bureau-citibank-pull/"/>
    <hyperlink ref="I268" r:id="rId267" display="https://www.doctorofcredit.com/credit-bureau-citibank-pull/"/>
    <hyperlink ref="I269" r:id="rId268" display="https://www.doctorofcredit.com/credit-bureau-citibank-pull/"/>
    <hyperlink ref="I270" r:id="rId269" display="https://www.doctorofcredit.com/credit-bureau-citibank-pull/"/>
    <hyperlink ref="I271" r:id="rId270" display="https://www.doctorofcredit.com/credit-bureau-citibank-pull/"/>
    <hyperlink ref="I272" r:id="rId271" display="https://www.doctorofcredit.com/credit-bureau-citibank-pull/"/>
    <hyperlink ref="I273" r:id="rId272" display="https://www.doctorofcredit.com/credit-bureau-citibank-pull/"/>
    <hyperlink ref="I274" r:id="rId273" display="https://www.doctorofcredit.com/credit-bureau-citibank-pull/"/>
    <hyperlink ref="I275" r:id="rId274" display="https://www.doctorofcredit.com/credit-bureau-citibank-pull/"/>
    <hyperlink ref="I276" r:id="rId275" display="https://www.doctorofcredit.com/credit-bureau-citibank-pull/"/>
    <hyperlink ref="I277" r:id="rId276" display="https://www.doctorofcredit.com/credit-bureau-citibank-pull/"/>
    <hyperlink ref="I278" r:id="rId277" display="https://www.doctorofcredit.com/credit-bureau-citibank-pull/"/>
    <hyperlink ref="I279" r:id="rId278" display="https://www.doctorofcredit.com/credit-bureau-citibank-pull/"/>
    <hyperlink ref="I280" r:id="rId279" display="https://www.doctorofcredit.com/credit-bureau-citibank-pull/"/>
    <hyperlink ref="I281" r:id="rId280" display="https://ficoforums.myfico.com/t5/General-Credit-Topics/Which-Report-Will-They-Pull-Part-2/td-p/6379773"/>
    <hyperlink ref="I282" r:id="rId281" display="https://ficoforums.myfico.com/t5/General-Credit-Topics/Which-Report-Will-They-Pull-Part-2/td-p/6379773"/>
    <hyperlink ref="I283" r:id="rId282" display="https://ficoforums.myfico.com/t5/General-Credit-Topics/Which-Report-Will-They-Pull-Part-2/td-p/6379773"/>
    <hyperlink ref="I284" r:id="rId283" display="https://ficoforums.myfico.com/t5/General-Credit-Topics/Which-Report-Will-They-Pull-Part-2/td-p/6379773"/>
    <hyperlink ref="I285" r:id="rId284" display="https://ficoforums.myfico.com/t5/General-Credit-Topics/Which-Report-Will-They-Pull-Part-2/td-p/6379773"/>
    <hyperlink ref="I286" r:id="rId285" display="https://ficoforums.myfico.com/t5/General-Credit-Topics/Which-Report-Will-They-Pull-Part-2/td-p/6379773"/>
    <hyperlink ref="I287" r:id="rId286" display="https://ficoforums.myfico.com/t5/General-Credit-Topics/Which-Report-Will-They-Pull-Part-2/td-p/6379773"/>
    <hyperlink ref="I288" r:id="rId287" display="https://ficoforums.myfico.com/t5/General-Credit-Topics/Which-Report-Will-They-Pull-Part-2/td-p/6379773"/>
    <hyperlink ref="I289" r:id="rId288" display="https://ficoforums.myfico.com/t5/General-Credit-Topics/Which-Report-Will-They-Pull-Part-2/td-p/6379773"/>
    <hyperlink ref="I290" r:id="rId289" display="https://ficoforums.myfico.com/t5/General-Credit-Topics/Which-Report-Will-They-Pull-Part-2/td-p/6379773"/>
    <hyperlink ref="I291" r:id="rId290" display="https://ficoforums.myfico.com/t5/General-Credit-Topics/Which-Report-Will-They-Pull-Part-2/td-p/6379773"/>
    <hyperlink ref="I292" r:id="rId291" display="https://ficoforums.myfico.com/t5/General-Credit-Topics/Which-Report-Will-They-Pull-Part-2/td-p/6379773"/>
    <hyperlink ref="I293" r:id="rId292" display="https://ficoforums.myfico.com/t5/General-Credit-Topics/Which-Report-Will-They-Pull-Part-2/td-p/6379773"/>
    <hyperlink ref="I294" r:id="rId293" display="https://ficoforums.myfico.com/t5/General-Credit-Topics/Which-Report-Will-They-Pull-Part-2/td-p/6379773"/>
    <hyperlink ref="I295" r:id="rId294" display="https://ficoforums.myfico.com/t5/General-Credit-Topics/Which-Report-Will-They-Pull-Part-2/td-p/6379773"/>
    <hyperlink ref="I296" r:id="rId295" display="https://ficoforums.myfico.com/t5/General-Credit-Topics/Which-Report-Will-They-Pull-Part-2/td-p/6379773"/>
    <hyperlink ref="I297" r:id="rId296" display="https://ficoforums.myfico.com/t5/General-Credit-Topics/Which-Report-Will-They-Pull-Part-2/td-p/6379773"/>
    <hyperlink ref="I298" r:id="rId297" display="https://ficoforums.myfico.com/t5/General-Credit-Topics/Which-Report-Will-They-Pull-Part-2/td-p/6379773"/>
    <hyperlink ref="I299" r:id="rId298" display="https://ficoforums.myfico.com/t5/General-Credit-Topics/Which-Report-Will-They-Pull-Part-2/td-p/6379773"/>
    <hyperlink ref="I300" r:id="rId299" display="https://ficoforums.myfico.com/t5/General-Credit-Topics/Which-Report-Will-They-Pull-Part-2/td-p/6379773"/>
    <hyperlink ref="I301" r:id="rId300" display="https://ficoforums.myfico.com/t5/General-Credit-Topics/Which-Report-Will-They-Pull-Part-2/td-p/6379773"/>
    <hyperlink ref="I302" r:id="rId301" display="https://ficoforums.myfico.com/t5/General-Credit-Topics/Which-Report-Will-They-Pull-Part-2/td-p/6379773"/>
    <hyperlink ref="I303" r:id="rId302" display="https://ficoforums.myfico.com/t5/General-Credit-Topics/Which-Report-Will-They-Pull-Part-2/td-p/6379773"/>
    <hyperlink ref="I304" r:id="rId303" display="https://ficoforums.myfico.com/t5/General-Credit-Topics/Which-Report-Will-They-Pull-Part-2/td-p/6379773"/>
    <hyperlink ref="I305" r:id="rId304" display="https://ficoforums.myfico.com/t5/General-Credit-Topics/Which-Report-Will-They-Pull-Part-2/td-p/6379773"/>
    <hyperlink ref="I306" r:id="rId305" display="https://ficoforums.myfico.com/t5/General-Credit-Topics/Which-Report-Will-They-Pull-Part-2/td-p/6379773"/>
    <hyperlink ref="I307" r:id="rId306" display="https://ficoforums.myfico.com/t5/General-Credit-Topics/Which-Report-Will-They-Pull-Part-2/td-p/6379773"/>
    <hyperlink ref="I308" r:id="rId307" display="https://ficoforums.myfico.com/t5/General-Credit-Topics/Which-Report-Will-They-Pull-Part-2/td-p/6379773"/>
    <hyperlink ref="I309" r:id="rId308" display="https://ficoforums.myfico.com/t5/General-Credit-Topics/Which-Report-Will-They-Pull-Part-2/td-p/6379773"/>
    <hyperlink ref="I310" r:id="rId309" display="https://ficoforums.myfico.com/t5/General-Credit-Topics/Which-Report-Will-They-Pull-Part-2/td-p/6379773"/>
    <hyperlink ref="I311" r:id="rId310" display="https://ficoforums.myfico.com/t5/General-Credit-Topics/Which-Report-Will-They-Pull-Part-2/td-p/6379773"/>
    <hyperlink ref="I312" r:id="rId311" display="https://ficoforums.myfico.com/t5/General-Credit-Topics/Which-Report-Will-They-Pull-Part-2/td-p/6379773"/>
    <hyperlink ref="I313" r:id="rId312" display="https://ficoforums.myfico.com/t5/General-Credit-Topics/Which-Report-Will-They-Pull-Part-2/td-p/6379773"/>
    <hyperlink ref="I314" r:id="rId313" display="https://ficoforums.myfico.com/t5/General-Credit-Topics/Which-Report-Will-They-Pull-Part-2/td-p/6379773"/>
    <hyperlink ref="I315" r:id="rId314" display="https://ficoforums.myfico.com/t5/General-Credit-Topics/Which-Report-Will-They-Pull-Part-2/td-p/6379773"/>
    <hyperlink ref="I316" r:id="rId315" display="https://ficoforums.myfico.com/t5/General-Credit-Topics/Which-Report-Will-They-Pull-Part-2/td-p/6379773"/>
    <hyperlink ref="I317" r:id="rId316" display="https://ficoforums.myfico.com/t5/General-Credit-Topics/Which-Report-Will-They-Pull-Part-2/td-p/6379773"/>
    <hyperlink ref="I318" r:id="rId317" display="https://ficoforums.myfico.com/t5/General-Credit-Topics/Which-Report-Will-They-Pull-Part-2/td-p/6379773"/>
    <hyperlink ref="I319" r:id="rId318" display="https://ficoforums.myfico.com/t5/General-Credit-Topics/Which-Report-Will-They-Pull-Part-2/td-p/6379773"/>
    <hyperlink ref="I320" r:id="rId319" display="https://ficoforums.myfico.com/t5/General-Credit-Topics/Which-Report-Will-They-Pull-Part-2/td-p/6379773"/>
    <hyperlink ref="I321" r:id="rId320" display="https://ficoforums.myfico.com/t5/General-Credit-Topics/Which-Report-Will-They-Pull-Part-2/td-p/6379773"/>
    <hyperlink ref="I322" r:id="rId321" display="https://ficoforums.myfico.com/t5/General-Credit-Topics/Which-Report-Will-They-Pull-Part-2/td-p/6379773"/>
    <hyperlink ref="I323" r:id="rId322" display="https://ficoforums.myfico.com/t5/General-Credit-Topics/Which-Report-Will-They-Pull-Part-2/td-p/6379773"/>
    <hyperlink ref="I324" r:id="rId323" display="https://ficoforums.myfico.com/t5/General-Credit-Topics/Which-Report-Will-They-Pull-Part-2/td-p/6379773"/>
    <hyperlink ref="I325" r:id="rId324" display="https://ficoforums.myfico.com/t5/General-Credit-Topics/Which-Report-Will-They-Pull-Part-2/td-p/6379773"/>
    <hyperlink ref="I326" r:id="rId325" display="https://ficoforums.myfico.com/t5/General-Credit-Topics/Which-Report-Will-They-Pull-Part-2/td-p/6379773"/>
    <hyperlink ref="I327" r:id="rId326" display="https://ficoforums.myfico.com/t5/General-Credit-Topics/Which-Report-Will-They-Pull-Part-2/td-p/6379773"/>
    <hyperlink ref="I328" r:id="rId327" display="https://ficoforums.myfico.com/t5/General-Credit-Topics/Which-Report-Will-They-Pull-Part-2/td-p/6379773"/>
    <hyperlink ref="I329" r:id="rId328" display="https://ficoforums.myfico.com/t5/General-Credit-Topics/Which-Report-Will-They-Pull-Part-2/td-p/6379773"/>
    <hyperlink ref="I330" r:id="rId329" display="https://ficoforums.myfico.com/t5/General-Credit-Topics/Which-Report-Will-They-Pull-Part-2/td-p/6379773"/>
    <hyperlink ref="I331" r:id="rId330" display="https://ficoforums.myfico.com/t5/General-Credit-Topics/Which-Report-Will-They-Pull-Part-2/td-p/6379773"/>
    <hyperlink ref="I332" r:id="rId331" display="https://ficoforums.myfico.com/t5/General-Credit-Topics/Which-Report-Will-They-Pull-Part-2/td-p/6379773"/>
    <hyperlink ref="I333" r:id="rId332" display="https://ficoforums.myfico.com/t5/General-Credit-Topics/Which-Report-Will-They-Pull-Part-2/td-p/6379773"/>
    <hyperlink ref="I334" r:id="rId333" display="https://ficoforums.myfico.com/t5/General-Credit-Topics/Which-Report-Will-They-Pull-Part-2/td-p/6379773"/>
    <hyperlink ref="I335" r:id="rId334" display="https://ficoforums.myfico.com/t5/General-Credit-Topics/Which-Report-Will-They-Pull-Part-2/td-p/6379773"/>
    <hyperlink ref="I336" r:id="rId335" display="https://ficoforums.myfico.com/t5/General-Credit-Topics/Which-Report-Will-They-Pull-Part-2/td-p/6379773"/>
    <hyperlink ref="I337" r:id="rId336" display="https://ficoforums.myfico.com/t5/General-Credit-Topics/Which-Report-Will-They-Pull-Part-2/td-p/6379773"/>
    <hyperlink ref="I338" r:id="rId337" display="https://ficoforums.myfico.com/t5/General-Credit-Topics/Which-Report-Will-They-Pull-Part-2/td-p/6379773"/>
    <hyperlink ref="I339" r:id="rId338" display="https://ficoforums.myfico.com/t5/General-Credit-Topics/Which-Report-Will-They-Pull-Part-2/td-p/6379773"/>
    <hyperlink ref="I340" r:id="rId339" display="https://ficoforums.myfico.com/t5/General-Credit-Topics/Which-Report-Will-They-Pull-Part-2/td-p/6379773"/>
    <hyperlink ref="I341" r:id="rId340" display="https://ficoforums.myfico.com/t5/General-Credit-Topics/Which-Report-Will-They-Pull-Part-2/td-p/6379773"/>
    <hyperlink ref="I342" r:id="rId341" display="https://ficoforums.myfico.com/t5/General-Credit-Topics/Which-Report-Will-They-Pull-Part-2/td-p/6379773"/>
    <hyperlink ref="I343" r:id="rId342" display="https://ficoforums.myfico.com/t5/General-Credit-Topics/Which-Report-Will-They-Pull-Part-2/td-p/6379773"/>
    <hyperlink ref="I344" r:id="rId343" display="https://ficoforums.myfico.com/t5/General-Credit-Topics/Which-Report-Will-They-Pull-Part-2/td-p/6379773"/>
    <hyperlink ref="I345" r:id="rId344" display="https://ficoforums.myfico.com/t5/General-Credit-Topics/Which-Report-Will-They-Pull-Part-2/td-p/6379773"/>
    <hyperlink ref="I346" r:id="rId345" display="https://ficoforums.myfico.com/t5/General-Credit-Topics/Which-Report-Will-They-Pull-Part-2/td-p/6379773"/>
    <hyperlink ref="I347" r:id="rId346" display="https://ficoforums.myfico.com/t5/General-Credit-Topics/Which-Report-Will-They-Pull-Part-2/td-p/6379773"/>
    <hyperlink ref="I348" r:id="rId347" display="https://ficoforums.myfico.com/t5/General-Credit-Topics/Which-Report-Will-They-Pull-Part-2/td-p/6379773"/>
    <hyperlink ref="I349" r:id="rId348" display="https://ficoforums.myfico.com/t5/General-Credit-Topics/Which-Report-Will-They-Pull-Part-2/td-p/6379773"/>
    <hyperlink ref="I350" r:id="rId349" display="https://ficoforums.myfico.com/t5/General-Credit-Topics/Which-Report-Will-They-Pull-Part-2/td-p/6379773"/>
    <hyperlink ref="I351" r:id="rId350" display="https://ficoforums.myfico.com/t5/General-Credit-Topics/Which-Report-Will-They-Pull-Part-2/td-p/6379773"/>
    <hyperlink ref="I352" r:id="rId351" display="https://ficoforums.myfico.com/t5/General-Credit-Topics/Which-Report-Will-They-Pull-Part-2/td-p/6379773"/>
    <hyperlink ref="I353" r:id="rId352" display="https://ficoforums.myfico.com/t5/General-Credit-Topics/Which-Report-Will-They-Pull-Part-2/td-p/6379773"/>
    <hyperlink ref="I354" r:id="rId353" display="https://ficoforums.myfico.com/t5/General-Credit-Topics/Which-Report-Will-They-Pull-Part-2/td-p/6379773"/>
    <hyperlink ref="I355" r:id="rId354" display="https://ficoforums.myfico.com/t5/General-Credit-Topics/Which-Report-Will-They-Pull-Part-2/td-p/6379773"/>
    <hyperlink ref="I356" r:id="rId355" display="https://ficoforums.myfico.com/t5/General-Credit-Topics/Which-Report-Will-They-Pull-Part-2/td-p/6379773"/>
    <hyperlink ref="I357" r:id="rId356" display="https://ficoforums.myfico.com/t5/General-Credit-Topics/Which-Report-Will-They-Pull-Part-2/td-p/6379773"/>
    <hyperlink ref="I358" r:id="rId357" display="https://ficoforums.myfico.com/t5/General-Credit-Topics/Which-Report-Will-They-Pull-Part-2/td-p/6379773"/>
    <hyperlink ref="I359" r:id="rId358" display="https://ficoforums.myfico.com/t5/General-Credit-Topics/Which-Report-Will-They-Pull-Part-2/td-p/6379773"/>
    <hyperlink ref="I360" r:id="rId359" display="https://ficoforums.myfico.com/t5/General-Credit-Topics/Which-Report-Will-They-Pull-Part-2/td-p/6379773"/>
    <hyperlink ref="I361" r:id="rId360" display="https://ficoforums.myfico.com/t5/General-Credit-Topics/Which-Report-Will-They-Pull-Part-2/td-p/6379773"/>
    <hyperlink ref="I362" r:id="rId361" display="https://ficoforums.myfico.com/t5/General-Credit-Topics/Which-Report-Will-They-Pull-Part-2/td-p/6379773"/>
    <hyperlink ref="I363" r:id="rId362" display="https://ficoforums.myfico.com/t5/General-Credit-Topics/Which-Report-Will-They-Pull-Part-2/td-p/6379773"/>
    <hyperlink ref="I364" r:id="rId363" display="https://ficoforums.myfico.com/t5/General-Credit-Topics/Which-Report-Will-They-Pull-Part-2/td-p/6379773"/>
    <hyperlink ref="I365" r:id="rId364" display="https://ficoforums.myfico.com/t5/General-Credit-Topics/Which-Report-Will-They-Pull-Part-2/td-p/6379773"/>
    <hyperlink ref="I366" r:id="rId365" display="https://ficoforums.myfico.com/t5/General-Credit-Topics/Which-Report-Will-They-Pull-Part-2/td-p/6379773"/>
    <hyperlink ref="I367" r:id="rId366" display="https://ficoforums.myfico.com/t5/General-Credit-Topics/Which-Report-Will-They-Pull-Part-2/td-p/6379773"/>
    <hyperlink ref="I368" r:id="rId367" display="https://ficoforums.myfico.com/t5/General-Credit-Topics/Which-Report-Will-They-Pull-Part-2/td-p/6379773"/>
    <hyperlink ref="I369" r:id="rId368" display="https://ficoforums.myfico.com/t5/General-Credit-Topics/Which-Report-Will-They-Pull-Part-2/td-p/6379773"/>
    <hyperlink ref="I370" r:id="rId369" display="https://ficoforums.myfico.com/t5/General-Credit-Topics/Which-Report-Will-They-Pull-Part-2/td-p/6379773"/>
    <hyperlink ref="I371" r:id="rId370" display="https://ficoforums.myfico.com/t5/General-Credit-Topics/Which-Report-Will-They-Pull-Part-2/td-p/6379773"/>
    <hyperlink ref="I372" r:id="rId371" display="https://ficoforums.myfico.com/t5/General-Credit-Topics/Which-Report-Will-They-Pull-Part-2/td-p/6379773"/>
    <hyperlink ref="I373" r:id="rId372" display="https://ficoforums.myfico.com/t5/General-Credit-Topics/Which-Report-Will-They-Pull-Part-2/td-p/6379773"/>
    <hyperlink ref="I374" r:id="rId373" display="https://ficoforums.myfico.com/t5/General-Credit-Topics/Which-Report-Will-They-Pull-Part-2/td-p/6379773"/>
    <hyperlink ref="I375" r:id="rId374" display="https://ficoforums.myfico.com/t5/General-Credit-Topics/Which-Report-Will-They-Pull-Part-2/td-p/6379773"/>
    <hyperlink ref="I376" r:id="rId375" display="https://ficoforums.myfico.com/t5/General-Credit-Topics/Which-Report-Will-They-Pull-Part-2/td-p/6379773"/>
    <hyperlink ref="I377" r:id="rId376" display="https://ficoforums.myfico.com/t5/General-Credit-Topics/Which-Report-Will-They-Pull-Part-2/td-p/6379773"/>
    <hyperlink ref="I378" r:id="rId377" display="https://ficoforums.myfico.com/t5/General-Credit-Topics/Which-Report-Will-They-Pull-Part-2/td-p/6379773"/>
    <hyperlink ref="I379" r:id="rId378" display="https://ficoforums.myfico.com/t5/General-Credit-Topics/Which-Report-Will-They-Pull-Part-2/td-p/6379773"/>
    <hyperlink ref="I380" r:id="rId379" display="https://ficoforums.myfico.com/t5/General-Credit-Topics/Which-Report-Will-They-Pull-Part-2/td-p/6379773"/>
    <hyperlink ref="I381" r:id="rId380" display="https://ficoforums.myfico.com/t5/General-Credit-Topics/Which-Report-Will-They-Pull-Part-2/td-p/6379773"/>
    <hyperlink ref="I382" r:id="rId381" display="https://ficoforums.myfico.com/t5/General-Credit-Topics/Which-Report-Will-They-Pull-Part-2/td-p/6379773"/>
    <hyperlink ref="I383" r:id="rId382" display="https://ficoforums.myfico.com/t5/General-Credit-Topics/Which-Report-Will-They-Pull-Part-2/td-p/6379773"/>
    <hyperlink ref="I384" r:id="rId383" display="https://ficoforums.myfico.com/t5/General-Credit-Topics/Which-Report-Will-They-Pull-Part-2/td-p/6379773"/>
    <hyperlink ref="I385" r:id="rId384" display="https://ficoforums.myfico.com/t5/General-Credit-Topics/Which-Report-Will-They-Pull-Part-2/td-p/6379773"/>
    <hyperlink ref="I386" r:id="rId385" display="https://ficoforums.myfico.com/t5/General-Credit-Topics/Which-Report-Will-They-Pull-Part-2/td-p/6379773"/>
    <hyperlink ref="I387" r:id="rId386" display="https://ficoforums.myfico.com/t5/General-Credit-Topics/Which-Report-Will-They-Pull-Part-2/td-p/6379773"/>
    <hyperlink ref="I388" r:id="rId387" display="https://ficoforums.myfico.com/t5/General-Credit-Topics/Which-Report-Will-They-Pull-Part-2/td-p/6379773"/>
    <hyperlink ref="I389" r:id="rId388" display="https://ficoforums.myfico.com/t5/General-Credit-Topics/Which-Report-Will-They-Pull-Part-2/td-p/6379773"/>
    <hyperlink ref="I390" r:id="rId389" display="https://ficoforums.myfico.com/t5/General-Credit-Topics/Which-Report-Will-They-Pull-Part-2/td-p/6379773"/>
    <hyperlink ref="I391" r:id="rId390" display="https://ficoforums.myfico.com/t5/General-Credit-Topics/Which-Report-Will-They-Pull-Part-2/td-p/6379773"/>
    <hyperlink ref="I392" r:id="rId391" display="https://ficoforums.myfico.com/t5/General-Credit-Topics/Which-Report-Will-They-Pull-Part-2/td-p/6379773"/>
    <hyperlink ref="I393" r:id="rId392" display="https://ficoforums.myfico.com/t5/General-Credit-Topics/Which-Report-Will-They-Pull-Part-2/td-p/6379773"/>
    <hyperlink ref="I394" r:id="rId393" display="https://ficoforums.myfico.com/t5/General-Credit-Topics/Which-Report-Will-They-Pull-Part-2/td-p/6379773"/>
    <hyperlink ref="I395" r:id="rId394" display="https://ficoforums.myfico.com/t5/General-Credit-Topics/Which-Report-Will-They-Pull-Part-2/td-p/6379773"/>
    <hyperlink ref="I396" r:id="rId395" display="https://ficoforums.myfico.com/t5/General-Credit-Topics/Which-Report-Will-They-Pull-Part-2/td-p/6379773"/>
    <hyperlink ref="I397" r:id="rId396" display="https://ficoforums.myfico.com/t5/General-Credit-Topics/Which-Report-Will-They-Pull-Part-2/td-p/6379773"/>
    <hyperlink ref="I398" r:id="rId397" display="https://ficoforums.myfico.com/t5/General-Credit-Topics/Which-Report-Will-They-Pull-Part-2/td-p/6379773"/>
    <hyperlink ref="I399" r:id="rId398" display="https://ficoforums.myfico.com/t5/General-Credit-Topics/Which-Report-Will-They-Pull-Part-2/td-p/6379773"/>
    <hyperlink ref="I400" r:id="rId399" display="https://ficoforums.myfico.com/t5/General-Credit-Topics/Which-Report-Will-They-Pull-Part-2/td-p/6379773"/>
    <hyperlink ref="I401" r:id="rId400" display="https://ficoforums.myfico.com/t5/General-Credit-Topics/Which-Report-Will-They-Pull-Part-2/td-p/6379773"/>
    <hyperlink ref="I402" r:id="rId401" display="https://ficoforums.myfico.com/t5/General-Credit-Topics/Which-Report-Will-They-Pull-Part-2/td-p/6379773"/>
    <hyperlink ref="I403" r:id="rId402" display="https://www.doctorofcredit.com/knowledge-base/which-credit-bureau-does-chase-pull"/>
    <hyperlink ref="I404" r:id="rId403" display="https://www.doctorofcredit.com/knowledge-base/which-credit-bureau-does-chase-pull"/>
    <hyperlink ref="I405" r:id="rId404" display="https://www.doctorofcredit.com/knowledge-base/which-credit-bureau-does-chase-pull"/>
    <hyperlink ref="I406" r:id="rId405" display="https://www.doctorofcredit.com/knowledge-base/which-credit-bureau-does-chase-pull"/>
    <hyperlink ref="I407" r:id="rId406" display="https://www.doctorofcredit.com/knowledge-base/which-credit-bureau-does-chase-pull"/>
    <hyperlink ref="I408" r:id="rId407" display="https://www.doctorofcredit.com/knowledge-base/which-credit-bureau-does-chase-pull"/>
    <hyperlink ref="I409" r:id="rId408" display="https://www.doctorofcredit.com/knowledge-base/which-credit-bureau-does-chase-pull"/>
    <hyperlink ref="I410" r:id="rId409" display="https://www.doctorofcredit.com/knowledge-base/which-credit-bureau-does-chase-pull"/>
    <hyperlink ref="I411" r:id="rId410" display="https://www.doctorofcredit.com/knowledge-base/which-credit-bureau-does-chase-pull"/>
    <hyperlink ref="I412" r:id="rId411" display="https://www.doctorofcredit.com/knowledge-base/which-credit-bureau-does-chase-pull"/>
    <hyperlink ref="I413" r:id="rId412" display="https://www.doctorofcredit.com/knowledge-base/which-credit-bureau-does-chase-pull"/>
    <hyperlink ref="I414" r:id="rId413" display="https://www.doctorofcredit.com/knowledge-base/which-credit-bureau-does-chase-pull"/>
    <hyperlink ref="I415" r:id="rId414" display="https://www.doctorofcredit.com/knowledge-base/which-credit-bureau-does-chase-pull"/>
    <hyperlink ref="I416" r:id="rId415" display="https://www.doctorofcredit.com/knowledge-base/which-credit-bureau-does-chase-pull"/>
    <hyperlink ref="I417" r:id="rId416" display="https://www.doctorofcredit.com/knowledge-base/which-credit-bureau-does-chase-pull"/>
    <hyperlink ref="I418" r:id="rId417" display="https://www.doctorofcredit.com/knowledge-base/which-credit-bureau-does-chase-pull"/>
    <hyperlink ref="I419" r:id="rId418" display="https://www.doctorofcredit.com/knowledge-base/which-credit-bureau-does-chase-pull"/>
    <hyperlink ref="I420" r:id="rId419" display="https://www.doctorofcredit.com/knowledge-base/which-credit-bureau-does-chase-pull"/>
    <hyperlink ref="I421" r:id="rId420" display="https://www.doctorofcredit.com/knowledge-base/which-credit-bureau-does-chase-pull"/>
    <hyperlink ref="I422" r:id="rId421" display="https://www.doctorofcredit.com/knowledge-base/which-credit-bureau-does-chase-pull"/>
    <hyperlink ref="I423" r:id="rId422" display="https://www.doctorofcredit.com/knowledge-base/which-credit-bureau-does-chase-pull"/>
    <hyperlink ref="I424" r:id="rId423" display="https://www.doctorofcredit.com/knowledge-base/which-credit-bureau-does-chase-pull"/>
    <hyperlink ref="I425" r:id="rId424" display="https://www.doctorofcredit.com/knowledge-base/which-credit-bureau-does-chase-pull"/>
    <hyperlink ref="I426" r:id="rId425" display="https://www.doctorofcredit.com/knowledge-base/which-credit-bureau-does-chase-pull"/>
    <hyperlink ref="I427" r:id="rId426" display="https://www.doctorofcredit.com/knowledge-base/which-credit-bureau-does-chase-pull"/>
    <hyperlink ref="I428" r:id="rId427" display="https://www.doctorofcredit.com/knowledge-base/which-credit-bureau-does-chase-pull"/>
    <hyperlink ref="I429" r:id="rId428" display="https://www.doctorofcredit.com/knowledge-base/which-credit-bureau-does-chase-pull"/>
    <hyperlink ref="I430" r:id="rId429" display="https://www.doctorofcredit.com/knowledge-base/which-credit-bureau-does-chase-pull"/>
    <hyperlink ref="I431" r:id="rId430" display="https://www.doctorofcredit.com/knowledge-base/which-credit-bureau-does-chase-pull"/>
    <hyperlink ref="I432" r:id="rId431" display="https://www.doctorofcredit.com/knowledge-base/which-credit-bureau-does-chase-pull"/>
    <hyperlink ref="I433" r:id="rId432" display="https://www.doctorofcredit.com/knowledge-base/which-credit-bureau-does-chase-pull"/>
    <hyperlink ref="I434" r:id="rId433" display="https://www.doctorofcredit.com/knowledge-base/which-credit-bureau-does-chase-pull"/>
    <hyperlink ref="I435" r:id="rId434" display="https://www.doctorofcredit.com/knowledge-base/which-credit-bureau-does-chase-pull"/>
    <hyperlink ref="I436" r:id="rId435" display="https://www.doctorofcredit.com/knowledge-base/which-credit-bureau-does-chase-pull"/>
    <hyperlink ref="I437" r:id="rId436" display="https://www.doctorofcredit.com/knowledge-base/which-credit-bureau-does-chase-pull"/>
    <hyperlink ref="I438" r:id="rId437" display="https://www.doctorofcredit.com/knowledge-base/which-credit-bureau-does-chase-pull"/>
    <hyperlink ref="I439" r:id="rId438" display="https://www.doctorofcredit.com/knowledge-base/which-credit-bureau-does-chase-pull"/>
    <hyperlink ref="I440" r:id="rId439" display="https://www.doctorofcredit.com/knowledge-base/which-credit-bureau-does-chase-pull"/>
    <hyperlink ref="I441" r:id="rId440" display="https://www.doctorofcredit.com/knowledge-base/which-credit-bureau-does-chase-pull"/>
    <hyperlink ref="I442" r:id="rId441" display="https://www.doctorofcredit.com/knowledge-base/which-credit-bureau-does-chase-pull"/>
    <hyperlink ref="I443" r:id="rId442" display="https://www.doctorofcredit.com/knowledge-base/which-credit-bureau-does-chase-pull"/>
    <hyperlink ref="I444" r:id="rId443" display="https://www.doctorofcredit.com/knowledge-base/which-credit-bureau-does-chase-pull"/>
    <hyperlink ref="I445" r:id="rId444" display="https://www.doctorofcredit.com/knowledge-base/which-credit-bureau-does-chase-pull"/>
    <hyperlink ref="I446" r:id="rId445" display="https://ficoforums.myfico.com/t5/General-Credit-Topics/Which-Report-Will-They-Pull-Part-2/td-p/6379773"/>
    <hyperlink ref="I447" r:id="rId446" display="https://ficoforums.myfico.com/t5/General-Credit-Topics/Which-Report-Will-They-Pull-Part-2/td-p/6379773"/>
    <hyperlink ref="I448" r:id="rId447" display="https://ficoforums.myfico.com/t5/General-Credit-Topics/Which-Report-Will-They-Pull-Part-2/td-p/6379773"/>
    <hyperlink ref="I449" r:id="rId448" display="https://ficoforums.myfico.com/t5/General-Credit-Topics/Which-Report-Will-They-Pull-Part-2/td-p/6379773"/>
    <hyperlink ref="I450" r:id="rId449" display="https://ficoforums.myfico.com/t5/General-Credit-Topics/Which-Report-Will-They-Pull-Part-2/td-p/6379773"/>
    <hyperlink ref="I451" r:id="rId450" display="https://ficoforums.myfico.com/t5/General-Credit-Topics/Which-Report-Will-They-Pull-Part-2/td-p/6379773"/>
    <hyperlink ref="I452" r:id="rId451" display="https://ficoforums.myfico.com/t5/General-Credit-Topics/Which-Report-Will-They-Pull-Part-2/td-p/6379773"/>
    <hyperlink ref="I453" r:id="rId452" display="https://ficoforums.myfico.com/t5/General-Credit-Topics/Which-Report-Will-They-Pull-Part-2/td-p/6379773"/>
    <hyperlink ref="I454" r:id="rId453" display="https://ficoforums.myfico.com/t5/General-Credit-Topics/Which-Report-Will-They-Pull-Part-2/td-p/6379773"/>
    <hyperlink ref="I455" r:id="rId454" display="https://ficoforums.myfico.com/t5/General-Credit-Topics/Which-Report-Will-They-Pull-Part-2/td-p/6379773"/>
    <hyperlink ref="I456" r:id="rId455" display="https://ficoforums.myfico.com/t5/General-Credit-Topics/Which-Report-Will-They-Pull-Part-2/td-p/6379773"/>
    <hyperlink ref="I457" r:id="rId456" display="https://ficoforums.myfico.com/t5/General-Credit-Topics/Which-Report-Will-They-Pull-Part-2/td-p/6379773"/>
    <hyperlink ref="I458" r:id="rId457" display="https://ficoforums.myfico.com/t5/General-Credit-Topics/Which-Report-Will-They-Pull-Part-2/td-p/6379773"/>
    <hyperlink ref="I459" r:id="rId458" display="https://ficoforums.myfico.com/t5/General-Credit-Topics/Which-Report-Will-They-Pull-Part-2/td-p/6379773"/>
    <hyperlink ref="I460" r:id="rId459" display="https://ficoforums.myfico.com/t5/General-Credit-Topics/Which-Report-Will-They-Pull-Part-2/td-p/6379773"/>
    <hyperlink ref="I461" r:id="rId460" display="https://ficoforums.myfico.com/t5/General-Credit-Topics/Which-Report-Will-They-Pull-Part-2/td-p/6379773"/>
    <hyperlink ref="I462" r:id="rId461" display="https://ficoforums.myfico.com/t5/General-Credit-Topics/Which-Report-Will-They-Pull-Part-2/td-p/6379773"/>
    <hyperlink ref="I463" r:id="rId462" display="https://ficoforums.myfico.com/t5/General-Credit-Topics/Which-Report-Will-They-Pull-Part-2/td-p/6379773"/>
    <hyperlink ref="I464" r:id="rId463" display="https://ficoforums.myfico.com/t5/General-Credit-Topics/Which-Report-Will-They-Pull-Part-2/td-p/6379773"/>
    <hyperlink ref="I465" r:id="rId464" display="https://ficoforums.myfico.com/t5/General-Credit-Topics/Which-Report-Will-They-Pull-Part-2/td-p/6379773"/>
    <hyperlink ref="I466" r:id="rId465" display="https://ficoforums.myfico.com/t5/General-Credit-Topics/Which-Report-Will-They-Pull-Part-2/td-p/6379773"/>
    <hyperlink ref="I467" r:id="rId466" display="https://ficoforums.myfico.com/t5/General-Credit-Topics/Which-Report-Will-They-Pull-Part-2/td-p/6379773"/>
    <hyperlink ref="I468" r:id="rId467" display="https://ficoforums.myfico.com/t5/General-Credit-Topics/Which-Report-Will-They-Pull-Part-2/td-p/6379773"/>
    <hyperlink ref="I469" r:id="rId468" display="https://ficoforums.myfico.com/t5/General-Credit-Topics/Which-Report-Will-They-Pull-Part-2/td-p/6379773"/>
    <hyperlink ref="I470" r:id="rId469" display="https://ficoforums.myfico.com/t5/General-Credit-Topics/Which-Report-Will-They-Pull-Part-2/td-p/6379773"/>
    <hyperlink ref="I471" r:id="rId470" display="https://ficoforums.myfico.com/t5/General-Credit-Topics/Which-Report-Will-They-Pull-Part-2/td-p/6379773"/>
    <hyperlink ref="I472" r:id="rId471" display="https://ficoforums.myfico.com/t5/General-Credit-Topics/Which-Report-Will-They-Pull-Part-2/td-p/6379773"/>
    <hyperlink ref="I473" r:id="rId472" display="https://ficoforums.myfico.com/t5/General-Credit-Topics/Which-Report-Will-They-Pull-Part-2/td-p/6379773"/>
    <hyperlink ref="I474" r:id="rId473" display="https://ficoforums.myfico.com/t5/General-Credit-Topics/Which-Report-Will-They-Pull-Part-2/td-p/6379773"/>
    <hyperlink ref="I475" r:id="rId474" display="https://ficoforums.myfico.com/t5/General-Credit-Topics/Which-Report-Will-They-Pull-Part-2/td-p/6379773"/>
    <hyperlink ref="I476" r:id="rId475" display="https://ficoforums.myfico.com/t5/General-Credit-Topics/Which-Report-Will-They-Pull-Part-2/td-p/6379773"/>
    <hyperlink ref="I477" r:id="rId476" display="https://ficoforums.myfico.com/t5/General-Credit-Topics/Which-Report-Will-They-Pull-Part-2/td-p/6379773"/>
    <hyperlink ref="I478" r:id="rId477" display="https://ficoforums.myfico.com/t5/General-Credit-Topics/Which-Report-Will-They-Pull-Part-2/td-p/6379773"/>
    <hyperlink ref="I479" r:id="rId478" display="https://ficoforums.myfico.com/t5/General-Credit-Topics/Which-Report-Will-They-Pull-Part-2/td-p/6379773"/>
    <hyperlink ref="I480" r:id="rId479" display="https://ficoforums.myfico.com/t5/General-Credit-Topics/Which-Report-Will-They-Pull-Part-2/td-p/6379773"/>
    <hyperlink ref="I481" r:id="rId480" display="https://ficoforums.myfico.com/t5/General-Credit-Topics/Which-Report-Will-They-Pull-Part-2/td-p/6379773"/>
    <hyperlink ref="I482" r:id="rId481" display="https://ficoforums.myfico.com/t5/General-Credit-Topics/Which-Report-Will-They-Pull-Part-2/td-p/6379773"/>
    <hyperlink ref="I483" r:id="rId482" display="https://ficoforums.myfico.com/t5/General-Credit-Topics/Which-Report-Will-They-Pull-Part-2/td-p/6379773"/>
    <hyperlink ref="I484" r:id="rId483" display="https://ficoforums.myfico.com/t5/General-Credit-Topics/Which-Report-Will-They-Pull-Part-2/td-p/6379773"/>
    <hyperlink ref="I485" r:id="rId484" display="https://ficoforums.myfico.com/t5/General-Credit-Topics/Which-Report-Will-They-Pull-Part-2/td-p/6379773"/>
    <hyperlink ref="I486" r:id="rId485" display="https://ficoforums.myfico.com/t5/General-Credit-Topics/Which-Report-Will-They-Pull-Part-2/td-p/6379773"/>
    <hyperlink ref="I487" r:id="rId486" display="https://ficoforums.myfico.com/t5/General-Credit-Topics/Which-Report-Will-They-Pull-Part-2/td-p/6379773"/>
    <hyperlink ref="I488" r:id="rId487" display="https://ficoforums.myfico.com/t5/General-Credit-Topics/Which-Report-Will-They-Pull-Part-2/td-p/6379773"/>
    <hyperlink ref="I489" r:id="rId488" display="https://ficoforums.myfico.com/t5/General-Credit-Topics/Which-Report-Will-They-Pull-Part-2/td-p/6379773"/>
    <hyperlink ref="I490" r:id="rId489" display="https://ficoforums.myfico.com/t5/General-Credit-Topics/Which-Report-Will-They-Pull-Part-2/td-p/6379773"/>
    <hyperlink ref="I491" r:id="rId490" display="https://ficoforums.myfico.com/t5/General-Credit-Topics/Which-Report-Will-They-Pull-Part-2/td-p/6379773"/>
    <hyperlink ref="I492" r:id="rId491" display="https://ficoforums.myfico.com/t5/General-Credit-Topics/Which-Report-Will-They-Pull-Part-2/td-p/6379773"/>
    <hyperlink ref="I493" r:id="rId492" display="https://ficoforums.myfico.com/t5/General-Credit-Topics/Which-Report-Will-They-Pull-Part-2/td-p/6379773"/>
    <hyperlink ref="I494" r:id="rId493" display="https://ficoforums.myfico.com/t5/General-Credit-Topics/Which-Report-Will-They-Pull-Part-2/td-p/6379773"/>
    <hyperlink ref="I495" r:id="rId494" display="https://ficoforums.myfico.com/t5/General-Credit-Topics/Which-Report-Will-They-Pull-Part-2/td-p/6379773"/>
    <hyperlink ref="I496" r:id="rId495" display="https://ficoforums.myfico.com/t5/General-Credit-Topics/Which-Report-Will-They-Pull-Part-2/td-p/6379773"/>
    <hyperlink ref="I497" r:id="rId496" display="https://ficoforums.myfico.com/t5/General-Credit-Topics/Which-Report-Will-They-Pull-Part-2/td-p/6379773"/>
    <hyperlink ref="I498" r:id="rId497" display="https://ficoforums.myfico.com/t5/General-Credit-Topics/Which-Report-Will-They-Pull-Part-2/td-p/6379773"/>
    <hyperlink ref="I499" r:id="rId498" display="https://ficoforums.myfico.com/t5/General-Credit-Topics/Which-Report-Will-They-Pull-Part-2/td-p/6379773"/>
    <hyperlink ref="I500" r:id="rId499" display="https://ficoforums.myfico.com/t5/General-Credit-Topics/Which-Report-Will-They-Pull-Part-2/td-p/6379773"/>
    <hyperlink ref="I501" r:id="rId500" display="https://ficoforums.myfico.com/t5/General-Credit-Topics/Which-Report-Will-They-Pull-Part-2/td-p/6379773"/>
    <hyperlink ref="I502" r:id="rId501" display="https://ficoforums.myfico.com/t5/General-Credit-Topics/Which-Report-Will-They-Pull-Part-2/td-p/6379773"/>
    <hyperlink ref="I503" r:id="rId502" display="https://ficoforums.myfico.com/t5/General-Credit-Topics/Which-Report-Will-They-Pull-Part-2/td-p/6379773"/>
    <hyperlink ref="I504" r:id="rId503" display="https://ficoforums.myfico.com/t5/General-Credit-Topics/Which-Report-Will-They-Pull-Part-2/td-p/6379773"/>
    <hyperlink ref="I505" r:id="rId504" display="https://ficoforums.myfico.com/t5/General-Credit-Topics/Which-Report-Will-They-Pull-Part-2/td-p/6379773"/>
    <hyperlink ref="I506" r:id="rId505" display="https://ficoforums.myfico.com/t5/General-Credit-Topics/Which-Report-Will-They-Pull-Part-2/td-p/6379773"/>
    <hyperlink ref="I507" r:id="rId506" display="https://ficoforums.myfico.com/t5/General-Credit-Topics/Which-Report-Will-They-Pull-Part-2/td-p/6379773"/>
    <hyperlink ref="I508" r:id="rId507" display="https://ficoforums.myfico.com/t5/General-Credit-Topics/Which-Report-Will-They-Pull-Part-2/td-p/6379773"/>
    <hyperlink ref="I509" r:id="rId508" display="https://ficoforums.myfico.com/t5/General-Credit-Topics/Which-Report-Will-They-Pull-Part-2/td-p/6379773"/>
    <hyperlink ref="I510" r:id="rId509" display="https://ficoforums.myfico.com/t5/General-Credit-Topics/Which-Report-Will-They-Pull-Part-2/td-p/6379773"/>
    <hyperlink ref="I511" r:id="rId510" display="https://ficoforums.myfico.com/t5/General-Credit-Topics/Which-Report-Will-They-Pull-Part-2/td-p/6379773"/>
    <hyperlink ref="I512" r:id="rId511" display="https://ficoforums.myfico.com/t5/General-Credit-Topics/Which-Report-Will-They-Pull-Part-2/td-p/6379773"/>
    <hyperlink ref="I513" r:id="rId512" display="https://ficoforums.myfico.com/t5/General-Credit-Topics/Which-Report-Will-They-Pull-Part-2/td-p/6379773"/>
    <hyperlink ref="I514" r:id="rId513" display="https://ficoforums.myfico.com/t5/General-Credit-Topics/Which-Report-Will-They-Pull-Part-2/td-p/6379773"/>
    <hyperlink ref="I515" r:id="rId514" display="https://ficoforums.myfico.com/t5/General-Credit-Topics/Which-Report-Will-They-Pull-Part-2/td-p/6379773"/>
    <hyperlink ref="I516" r:id="rId515" display="https://ficoforums.myfico.com/t5/General-Credit-Topics/Which-Report-Will-They-Pull-Part-2/td-p/6379773"/>
    <hyperlink ref="I517" r:id="rId516" display="https://ficoforums.myfico.com/t5/General-Credit-Topics/Which-Report-Will-They-Pull-Part-2/td-p/6379773"/>
    <hyperlink ref="I518" r:id="rId517" display="https://ficoforums.myfico.com/t5/General-Credit-Topics/Which-Report-Will-They-Pull-Part-2/td-p/6379773"/>
    <hyperlink ref="I519" r:id="rId518" display="https://ficoforums.myfico.com/t5/General-Credit-Topics/Which-Report-Will-They-Pull-Part-2/td-p/6379773"/>
    <hyperlink ref="I520" r:id="rId519" display="https://ficoforums.myfico.com/t5/General-Credit-Topics/Which-Report-Will-They-Pull-Part-2/td-p/6379773"/>
    <hyperlink ref="I521" r:id="rId520" display="https://ficoforums.myfico.com/t5/General-Credit-Topics/Which-Report-Will-They-Pull-Part-2/td-p/6379773"/>
    <hyperlink ref="I522" r:id="rId521" display="https://ficoforums.myfico.com/t5/General-Credit-Topics/Which-Report-Will-They-Pull-Part-2/td-p/6379773"/>
    <hyperlink ref="I523" r:id="rId522" display="https://ficoforums.myfico.com/t5/General-Credit-Topics/Which-Report-Will-They-Pull-Part-2/td-p/6379773"/>
    <hyperlink ref="I524" r:id="rId523" display="https://ficoforums.myfico.com/t5/General-Credit-Topics/Which-Report-Will-They-Pull-Part-2/td-p/6379773"/>
    <hyperlink ref="I525" r:id="rId524" display="https://ficoforums.myfico.com/t5/General-Credit-Topics/Which-Report-Will-They-Pull-Part-2/td-p/6379773"/>
    <hyperlink ref="I526" r:id="rId525" display="https://ficoforums.myfico.com/t5/General-Credit-Topics/Which-Report-Will-They-Pull-Part-2/td-p/6379773"/>
    <hyperlink ref="I527" r:id="rId526" display="https://ficoforums.myfico.com/t5/General-Credit-Topics/Which-Report-Will-They-Pull-Part-2/td-p/6379773"/>
    <hyperlink ref="I528" r:id="rId527" display="https://ficoforums.myfico.com/t5/General-Credit-Topics/Which-Report-Will-They-Pull-Part-2/td-p/6379773"/>
    <hyperlink ref="I529" r:id="rId528" display="https://ficoforums.myfico.com/t5/General-Credit-Topics/Which-Report-Will-They-Pull-Part-2/td-p/6379773"/>
    <hyperlink ref="I530" r:id="rId529" display="https://ficoforums.myfico.com/t5/General-Credit-Topics/Which-Report-Will-They-Pull-Part-2/td-p/6379773"/>
    <hyperlink ref="I531" r:id="rId530" display="https://ficoforums.myfico.com/t5/General-Credit-Topics/Which-Report-Will-They-Pull-Part-2/td-p/6379773"/>
    <hyperlink ref="I532" r:id="rId531" display="https://ficoforums.myfico.com/t5/General-Credit-Topics/Which-Report-Will-They-Pull-Part-2/td-p/6379773"/>
    <hyperlink ref="I533" r:id="rId532" display="https://ficoforums.myfico.com/t5/General-Credit-Topics/Which-Report-Will-They-Pull-Part-2/td-p/6379773"/>
    <hyperlink ref="I534" r:id="rId533" display="https://ficoforums.myfico.com/t5/General-Credit-Topics/Which-Report-Will-They-Pull-Part-2/td-p/6379773"/>
    <hyperlink ref="I535" r:id="rId534" display="https://ficoforums.myfico.com/t5/General-Credit-Topics/Which-Report-Will-They-Pull-Part-2/td-p/6379773"/>
    <hyperlink ref="I536" r:id="rId535" display="https://ficoforums.myfico.com/t5/General-Credit-Topics/Which-Report-Will-They-Pull-Part-2/td-p/6379773"/>
    <hyperlink ref="I537" r:id="rId536" display="https://ficoforums.myfico.com/t5/General-Credit-Topics/Which-Report-Will-They-Pull-Part-2/td-p/6379773"/>
    <hyperlink ref="I538" r:id="rId537" display="https://ficoforums.myfico.com/t5/General-Credit-Topics/Which-Report-Will-They-Pull-Part-2/td-p/6379773"/>
    <hyperlink ref="I539" r:id="rId538" display="https://ficoforums.myfico.com/t5/General-Credit-Topics/Which-Report-Will-They-Pull-Part-2/td-p/6379773"/>
    <hyperlink ref="I540" r:id="rId539" display="https://ficoforums.myfico.com/t5/General-Credit-Topics/Which-Report-Will-They-Pull-Part-2/td-p/6379773"/>
    <hyperlink ref="I541" r:id="rId540" display="https://ficoforums.myfico.com/t5/General-Credit-Topics/Which-Report-Will-They-Pull-Part-2/td-p/6379773"/>
    <hyperlink ref="I542" r:id="rId541" display="https://ficoforums.myfico.com/t5/General-Credit-Topics/Which-Report-Will-They-Pull-Part-2/td-p/6379773"/>
    <hyperlink ref="I543" r:id="rId542" display="https://ficoforums.myfico.com/t5/General-Credit-Topics/Which-Report-Will-They-Pull-Part-2/td-p/6379773"/>
    <hyperlink ref="I544" r:id="rId543" display="https://ficoforums.myfico.com/t5/General-Credit-Topics/Which-Report-Will-They-Pull-Part-2/td-p/6379773"/>
    <hyperlink ref="I545" r:id="rId544" display="https://ficoforums.myfico.com/t5/General-Credit-Topics/Which-Report-Will-They-Pull-Part-2/td-p/6379773"/>
    <hyperlink ref="I546" r:id="rId545" display="https://ficoforums.myfico.com/t5/General-Credit-Topics/Which-Report-Will-They-Pull-Part-2/td-p/6379773"/>
    <hyperlink ref="I547" r:id="rId546" display="https://ficoforums.myfico.com/t5/General-Credit-Topics/Which-Report-Will-They-Pull-Part-2/td-p/6379773"/>
    <hyperlink ref="I548" r:id="rId547" display="https://ficoforums.myfico.com/t5/General-Credit-Topics/Which-Report-Will-They-Pull-Part-2/td-p/6379773"/>
    <hyperlink ref="I549" r:id="rId548" display="https://ficoforums.myfico.com/t5/General-Credit-Topics/Which-Report-Will-They-Pull-Part-2/td-p/6379773"/>
    <hyperlink ref="I550" r:id="rId549" display="https://ficoforums.myfico.com/t5/General-Credit-Topics/Which-Report-Will-They-Pull-Part-2/td-p/6379773"/>
    <hyperlink ref="I551" r:id="rId550" display="https://ficoforums.myfico.com/t5/General-Credit-Topics/Which-Report-Will-They-Pull-Part-2/td-p/6379773"/>
    <hyperlink ref="I552" r:id="rId551" display="https://ficoforums.myfico.com/t5/General-Credit-Topics/Which-Report-Will-They-Pull-Part-2/td-p/6379773"/>
    <hyperlink ref="I553" r:id="rId552" display="https://ficoforums.myfico.com/t5/General-Credit-Topics/Which-Report-Will-They-Pull-Part-2/td-p/6379773"/>
    <hyperlink ref="I554" r:id="rId553" display="https://ficoforums.myfico.com/t5/General-Credit-Topics/Which-Report-Will-They-Pull-Part-2/td-p/6379773"/>
    <hyperlink ref="I555" r:id="rId554" display="https://ficoforums.myfico.com/t5/General-Credit-Topics/Which-Report-Will-They-Pull-Part-2/td-p/6379773"/>
    <hyperlink ref="I556" r:id="rId555" display="https://ficoforums.myfico.com/t5/General-Credit-Topics/Which-Report-Will-They-Pull-Part-2/td-p/6379773"/>
    <hyperlink ref="I557" r:id="rId556" display="https://ficoforums.myfico.com/t5/General-Credit-Topics/Which-Report-Will-They-Pull-Part-2/td-p/6379773"/>
    <hyperlink ref="I558" r:id="rId557" display="https://ficoforums.myfico.com/t5/General-Credit-Topics/Which-Report-Will-They-Pull-Part-2/td-p/6379773"/>
    <hyperlink ref="I559" r:id="rId558" display="https://ficoforums.myfico.com/t5/General-Credit-Topics/Which-Report-Will-They-Pull-Part-2/td-p/6379773"/>
    <hyperlink ref="I560" r:id="rId559" display="https://ficoforums.myfico.com/t5/General-Credit-Topics/Which-Report-Will-They-Pull-Part-2/td-p/6379773"/>
    <hyperlink ref="I561" r:id="rId560" display="https://ficoforums.myfico.com/t5/General-Credit-Topics/Which-Report-Will-They-Pull-Part-2/td-p/6379773"/>
    <hyperlink ref="I562" r:id="rId561" display="https://ficoforums.myfico.com/t5/General-Credit-Topics/Which-Report-Will-They-Pull-Part-2/td-p/6379773"/>
    <hyperlink ref="I563" r:id="rId562" display="https://ficoforums.myfico.com/t5/General-Credit-Topics/Which-Report-Will-They-Pull-Part-2/td-p/6379773"/>
    <hyperlink ref="I564" r:id="rId563" display="https://ficoforums.myfico.com/t5/General-Credit-Topics/Which-Report-Will-They-Pull-Part-2/td-p/6379773"/>
    <hyperlink ref="I565" r:id="rId564" display="https://ficoforums.myfico.com/t5/General-Credit-Topics/Which-Report-Will-They-Pull-Part-2/td-p/6379773"/>
    <hyperlink ref="I566" r:id="rId565" display="https://ficoforums.myfico.com/t5/General-Credit-Topics/Which-Report-Will-They-Pull-Part-2/td-p/6379773"/>
    <hyperlink ref="I567" r:id="rId566" display="https://ficoforums.myfico.com/t5/General-Credit-Topics/Which-Report-Will-They-Pull-Part-2/td-p/6379773"/>
    <hyperlink ref="I568" r:id="rId567" display="https://ficoforums.myfico.com/t5/General-Credit-Topics/Which-Report-Will-They-Pull-Part-2/td-p/6379773"/>
    <hyperlink ref="I569" r:id="rId568" display="https://ficoforums.myfico.com/t5/General-Credit-Topics/Which-Report-Will-They-Pull-Part-2/td-p/6379773"/>
    <hyperlink ref="I570" r:id="rId569" display="https://www.doctorofcredit.com/credit-bureau-u-s-bank-pull"/>
    <hyperlink ref="I571" r:id="rId570" display="https://www.doctorofcredit.com/credit-bureau-u-s-bank-pull"/>
    <hyperlink ref="I572" r:id="rId571" display="https://www.doctorofcredit.com/credit-bureau-u-s-bank-pull"/>
    <hyperlink ref="I573" r:id="rId572" display="https://ficoforums.myfico.com/t5/General-Credit-Topics/U-S-Bank-pulls/td-p/6868435"/>
    <hyperlink ref="I574" r:id="rId573" display="https://www.doctorofcredit.com/credit-bureau-u-s-bank-pull"/>
    <hyperlink ref="I575" r:id="rId574" display="https://www.doctorofcredit.com/credit-bureau-u-s-bank-pull"/>
    <hyperlink ref="I576" r:id="rId575" display="https://www.doctorofcredit.com/credit-bureau-u-s-bank-pull"/>
    <hyperlink ref="I577" r:id="rId576" display="https://www.doctorofcredit.com/credit-bureau-u-s-bank-pull"/>
    <hyperlink ref="I578" r:id="rId577" display="https://ficoforums.myfico.com/t5/General-Credit-Topics/U-S-Bank-pulls/td-p/6868435"/>
    <hyperlink ref="I579" r:id="rId578" display="https://www.doctorofcredit.com/credit-bureau-u-s-bank-pull"/>
    <hyperlink ref="I580" r:id="rId579" display="https://www.doctorofcredit.com/credit-bureau-u-s-bank-pull"/>
    <hyperlink ref="I581" r:id="rId580" display="https://www.doctorofcredit.com/credit-bureau-u-s-bank-pull"/>
    <hyperlink ref="I582" r:id="rId581" display="https://www.doctorofcredit.com/credit-bureau-u-s-bank-pull"/>
    <hyperlink ref="I583" r:id="rId582" display="https://www.doctorofcredit.com/credit-bureau-u-s-bank-pull"/>
    <hyperlink ref="I584" r:id="rId583" display="https://www.doctorofcredit.com/credit-bureau-u-s-bank-pull"/>
    <hyperlink ref="I585" r:id="rId584" display="https://www.doctorofcredit.com/credit-bureau-u-s-bank-pull"/>
    <hyperlink ref="I586" r:id="rId585" display="https://www.doctorofcredit.com/credit-bureau-u-s-bank-pull"/>
    <hyperlink ref="I587" r:id="rId586" display="https://www.doctorofcredit.com/credit-bureau-u-s-bank-pull"/>
    <hyperlink ref="I588" r:id="rId587" display="https://www.doctorofcredit.com/credit-bureau-u-s-bank-pull"/>
    <hyperlink ref="I589" r:id="rId588" display="https://www.doctorofcredit.com/credit-bureau-u-s-bank-pull"/>
    <hyperlink ref="I590" r:id="rId589" display="https://www.doctorofcredit.com/credit-bureau-u-s-bank-pull"/>
    <hyperlink ref="I591" r:id="rId590" display="https://www.doctorofcredit.com/credit-bureau-u-s-bank-pull"/>
    <hyperlink ref="I592" r:id="rId591" display="https://www.doctorofcredit.com/credit-bureau-u-s-bank-pull"/>
    <hyperlink ref="I593" r:id="rId592" display="https://ficoforums.myfico.com/t5/General-Credit-Topics/U-S-Bank-pulls/td-p/6868435"/>
    <hyperlink ref="I594" r:id="rId593" display="https://www.doctorofcredit.com/credit-bureau-u-s-bank-pull"/>
    <hyperlink ref="I595" r:id="rId594" display="https://www.doctorofcredit.com/credit-bureau-u-s-bank-pull"/>
    <hyperlink ref="I596" r:id="rId595" display="https://www.doctorofcredit.com/credit-bureau-u-s-bank-pull"/>
    <hyperlink ref="I597" r:id="rId596" display="https://www.doctorofcredit.com/credit-bureau-u-s-bank-pull"/>
    <hyperlink ref="I598" r:id="rId597" display="https://www.doctorofcredit.com/credit-bureau-u-s-bank-pull"/>
    <hyperlink ref="I599" r:id="rId598" display="https://www.doctorofcredit.com/credit-bureau-u-s-bank-pull"/>
    <hyperlink ref="I600" r:id="rId599" display="https://www.doctorofcredit.com/credit-bureau-u-s-bank-pull"/>
    <hyperlink ref="I601" r:id="rId600" display="https://www.doctorofcredit.com/credit-bureau-u-s-bank-pull"/>
    <hyperlink ref="I602" r:id="rId601" display="https://ficoforums.myfico.com/t5/General-Credit-Topics/Which-Report-Will-They-Pull-Part-2/td-p/6379773"/>
    <hyperlink ref="I603" r:id="rId602" display="https://ficoforums.myfico.com/t5/General-Credit-Topics/Which-Report-Will-They-Pull-Part-2/td-p/6379773"/>
    <hyperlink ref="I604" r:id="rId603" display="https://ficoforums.myfico.com/t5/General-Credit-Topics/Which-Report-Will-They-Pull-Part-2/td-p/6379773"/>
    <hyperlink ref="I605" r:id="rId604" display="https://ficoforums.myfico.com/t5/General-Credit-Topics/Which-Report-Will-They-Pull-Part-2/td-p/6379773"/>
    <hyperlink ref="I606" r:id="rId605" display="https://ficoforums.myfico.com/t5/General-Credit-Topics/Which-Report-Will-They-Pull-Part-2/td-p/6379773"/>
    <hyperlink ref="I607" r:id="rId606" display="https://ficoforums.myfico.com/t5/General-Credit-Topics/Which-Report-Will-They-Pull-Part-2/td-p/6379773"/>
    <hyperlink ref="I608" r:id="rId607" display="https://ficoforums.myfico.com/t5/General-Credit-Topics/Which-Report-Will-They-Pull-Part-2/td-p/6379773"/>
    <hyperlink ref="I609" r:id="rId608" display="https://ficoforums.myfico.com/t5/General-Credit-Topics/Which-Report-Will-They-Pull-Part-2/td-p/6379773"/>
    <hyperlink ref="I610" r:id="rId609" display="https://ficoforums.myfico.com/t5/General-Credit-Topics/Which-Report-Will-They-Pull-Part-2/td-p/6379773"/>
    <hyperlink ref="I611" r:id="rId610" display="https://ficoforums.myfico.com/t5/General-Credit-Topics/Which-Report-Will-They-Pull-Part-2/td-p/6379773"/>
    <hyperlink ref="I612" r:id="rId611" display="https://ficoforums.myfico.com/t5/General-Credit-Topics/Which-Report-Will-They-Pull-Part-2/td-p/6379773"/>
    <hyperlink ref="I613" r:id="rId612" display="https://ficoforums.myfico.com/t5/General-Credit-Topics/Which-Report-Will-They-Pull-Part-2/td-p/6379773"/>
    <hyperlink ref="I614" r:id="rId613" display="https://ficoforums.myfico.com/t5/General-Credit-Topics/Which-Report-Will-They-Pull-Part-2/td-p/6379773"/>
    <hyperlink ref="I615" r:id="rId614" display="https://ficoforums.myfico.com/t5/General-Credit-Topics/Which-Report-Will-They-Pull-Part-2/td-p/6379773"/>
    <hyperlink ref="I616" r:id="rId615" display="https://ficoforums.myfico.com/t5/General-Credit-Topics/Which-Report-Will-They-Pull-Part-2/td-p/6379773"/>
    <hyperlink ref="I617" r:id="rId616" display="https://ficoforums.myfico.com/t5/General-Credit-Topics/Which-Report-Will-They-Pull-Part-2/td-p/6379773"/>
    <hyperlink ref="I618" r:id="rId617" display="https://ficoforums.myfico.com/t5/General-Credit-Topics/Which-Report-Will-They-Pull-Part-2/td-p/6379773"/>
    <hyperlink ref="I619" r:id="rId618" display="https://ficoforums.myfico.com/t5/General-Credit-Topics/Which-Report-Will-They-Pull-Part-2/td-p/6379773"/>
    <hyperlink ref="I620" r:id="rId619" display="https://ficoforums.myfico.com/t5/General-Credit-Topics/Which-Report-Will-They-Pull-Part-2/td-p/6379773"/>
    <hyperlink ref="I621" r:id="rId620" display="https://ficoforums.myfico.com/t5/General-Credit-Topics/Which-Report-Will-They-Pull-Part-2/td-p/6379773"/>
    <hyperlink ref="I622" r:id="rId621" display="https://ficoforums.myfico.com/t5/General-Credit-Topics/Which-Report-Will-They-Pull-Part-2/td-p/6379773"/>
    <hyperlink ref="I623" r:id="rId622" display="https://ficoforums.myfico.com/t5/General-Credit-Topics/Which-Report-Will-They-Pull-Part-2/td-p/6379773"/>
    <hyperlink ref="I624" r:id="rId623" display="https://ficoforums.myfico.com/t5/General-Credit-Topics/Which-Report-Will-They-Pull-Part-2/td-p/6379773"/>
    <hyperlink ref="I625" r:id="rId624" display="https://ficoforums.myfico.com/t5/General-Credit-Topics/Which-Report-Will-They-Pull-Part-2/td-p/6379773"/>
    <hyperlink ref="I626" r:id="rId625" display="https://ficoforums.myfico.com/t5/General-Credit-Topics/Which-Report-Will-They-Pull-Part-2/td-p/6379773"/>
    <hyperlink ref="I627" r:id="rId626" display="https://ficoforums.myfico.com/t5/General-Credit-Topics/Which-Report-Will-They-Pull-Part-2/td-p/6379773"/>
    <hyperlink ref="I628" r:id="rId627" display="https://ficoforums.myfico.com/t5/General-Credit-Topics/Which-Report-Will-They-Pull-Part-2/td-p/6379773"/>
    <hyperlink ref="I629" r:id="rId628" display="https://ficoforums.myfico.com/t5/General-Credit-Topics/Which-Report-Will-They-Pull-Part-2/td-p/6379773"/>
    <hyperlink ref="I630" r:id="rId629" display="https://ficoforums.myfico.com/t5/General-Credit-Topics/Which-Report-Will-They-Pull-Part-2/td-p/6379773"/>
    <hyperlink ref="I631" r:id="rId630" display="https://ficoforums.myfico.com/t5/General-Credit-Topics/Which-Report-Will-They-Pull-Part-2/td-p/6379773"/>
    <hyperlink ref="I632" r:id="rId631" display="https://ficoforums.myfico.com/t5/General-Credit-Topics/Which-Report-Will-They-Pull-Part-2/td-p/6379773"/>
    <hyperlink ref="I633" r:id="rId632" display="https://ficoforums.myfico.com/t5/General-Credit-Topics/Which-Report-Will-They-Pull-Part-2/td-p/6379773"/>
    <hyperlink ref="I634" r:id="rId633" display="https://ficoforums.myfico.com/t5/General-Credit-Topics/Which-Report-Will-They-Pull-Part-2/td-p/6379773"/>
    <hyperlink ref="I635" r:id="rId634" display="https://ficoforums.myfico.com/t5/General-Credit-Topics/Which-Report-Will-They-Pull-Part-2/td-p/6379773"/>
    <hyperlink ref="I636" r:id="rId635" display="https://ficoforums.myfico.com/t5/General-Credit-Topics/Which-Report-Will-They-Pull-Part-2/td-p/6379773"/>
    <hyperlink ref="I637" r:id="rId636" display="https://ficoforums.myfico.com/t5/General-Credit-Topics/Which-Report-Will-They-Pull-Part-2/td-p/6379773"/>
    <hyperlink ref="I638" r:id="rId637" display="https://ficoforums.myfico.com/t5/General-Credit-Topics/Which-Report-Will-They-Pull-Part-2/td-p/6379773"/>
    <hyperlink ref="I639" r:id="rId638" display="https://ficoforums.myfico.com/t5/General-Credit-Topics/Which-Report-Will-They-Pull-Part-2/td-p/6379773"/>
    <hyperlink ref="I640" r:id="rId639" display="https://ficoforums.myfico.com/t5/General-Credit-Topics/Which-Report-Will-They-Pull-Part-2/td-p/6379773"/>
    <hyperlink ref="I641" r:id="rId640" display="https://ficoforums.myfico.com/t5/General-Credit-Topics/Which-Report-Will-They-Pull-Part-2/td-p/6379773"/>
    <hyperlink ref="I642" r:id="rId641" display="https://ficoforums.myfico.com/t5/General-Credit-Topics/Which-Report-Will-They-Pull-Part-2/td-p/6379773"/>
    <hyperlink ref="I643" r:id="rId642" display="https://ficoforums.myfico.com/t5/General-Credit-Topics/Which-Report-Will-They-Pull-Part-2/td-p/6379773"/>
    <hyperlink ref="I644" r:id="rId643" display="https://ficoforums.myfico.com/t5/General-Credit-Topics/Which-Report-Will-They-Pull-Part-2/td-p/6379773"/>
    <hyperlink ref="I645" r:id="rId644" display="https://ficoforums.myfico.com/t5/General-Credit-Topics/Which-Report-Will-They-Pull-Part-2/td-p/6379773"/>
    <hyperlink ref="I646" r:id="rId645" display="https://ficoforums.myfico.com/t5/General-Credit-Topics/Which-Report-Will-They-Pull-Part-2/td-p/6379773"/>
    <hyperlink ref="I647" r:id="rId646" display="https://ficoforums.myfico.com/t5/General-Credit-Topics/Which-Report-Will-They-Pull-Part-2/td-p/6379773"/>
    <hyperlink ref="I648" r:id="rId647" display="https://ficoforums.myfico.com/t5/General-Credit-Topics/Which-Report-Will-They-Pull-Part-2/td-p/6379773"/>
    <hyperlink ref="I649" r:id="rId648" display="https://www.doctorofcredit.com/credit-bureau-wells-fargo-pull"/>
    <hyperlink ref="I650" r:id="rId649" display="https://www.doctorofcredit.com/credit-bureau-wells-fargo-pull"/>
    <hyperlink ref="I651" r:id="rId650" display="https://www.doctorofcredit.com/credit-bureau-wells-fargo-pull"/>
    <hyperlink ref="I652" r:id="rId651" display="https://www.doctorofcredit.com/credit-bureau-wells-fargo-pull"/>
    <hyperlink ref="I653" r:id="rId652" display="https://www.doctorofcredit.com/credit-bureau-wells-fargo-pull"/>
    <hyperlink ref="I654" r:id="rId653" display="https://www.doctorofcredit.com/credit-bureau-wells-fargo-pull"/>
    <hyperlink ref="I655" r:id="rId654" display="https://www.doctorofcredit.com/credit-bureau-wells-fargo-pull"/>
    <hyperlink ref="I656" r:id="rId655" display="https://www.doctorofcredit.com/credit-bureau-wells-fargo-pull"/>
    <hyperlink ref="I657" r:id="rId656" display="https://www.doctorofcredit.com/credit-bureau-wells-fargo-pull"/>
    <hyperlink ref="I658" r:id="rId657" display="https://www.doctorofcredit.com/credit-bureau-wells-fargo-pull"/>
    <hyperlink ref="I659" r:id="rId658" display="https://www.doctorofcredit.com/credit-bureau-wells-fargo-pull"/>
    <hyperlink ref="I660" r:id="rId659" display="https://www.doctorofcredit.com/credit-bureau-wells-fargo-pull"/>
    <hyperlink ref="I661" r:id="rId660" display="https://www.doctorofcredit.com/credit-bureau-wells-fargo-pull"/>
    <hyperlink ref="I662" r:id="rId661" display="https://www.doctorofcredit.com/credit-bureau-wells-fargo-pull"/>
    <hyperlink ref="I663" r:id="rId662" display="https://www.doctorofcredit.com/credit-bureau-wells-fargo-pull"/>
    <hyperlink ref="I664" r:id="rId663" display="https://www.doctorofcredit.com/credit-bureau-wells-fargo-pull"/>
    <hyperlink ref="I665" r:id="rId664" display="https://www.doctorofcredit.com/credit-bureau-wells-fargo-pull"/>
    <hyperlink ref="I666" r:id="rId665" display="https://www.doctorofcredit.com/credit-bureau-wells-fargo-pull"/>
    <hyperlink ref="I667" r:id="rId666" display="https://www.doctorofcredit.com/credit-bureau-wells-fargo-pull"/>
    <hyperlink ref="I668" r:id="rId667" display="https://www.doctorofcredit.com/credit-bureau-wells-fargo-pull"/>
    <hyperlink ref="I669" r:id="rId668" display="https://www.doctorofcredit.com/credit-bureau-wells-fargo-pull"/>
    <hyperlink ref="I670" r:id="rId669" display="https://www.doctorofcredit.com/credit-bureau-wells-fargo-pull"/>
    <hyperlink ref="I671" r:id="rId670" display="https://ficoforums.myfico.com/t5/General-Credit-Topics/Which-Report-Will-They-Pull-Part-2/td-p/637977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7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20"/>
    <col collapsed="false" customWidth="true" hidden="false" outlineLevel="0" max="4" min="4" style="0" width="40"/>
    <col collapsed="false" customWidth="true" hidden="false" outlineLevel="0" max="5" min="5" style="0" width="44"/>
    <col collapsed="false" customWidth="true" hidden="false" outlineLevel="0" max="6" min="6" style="0" width="24"/>
    <col collapsed="false" customWidth="true" hidden="false" outlineLevel="0" max="7" min="7" style="0" width="34"/>
    <col collapsed="false" customWidth="true" hidden="false" outlineLevel="0" max="8" min="8" style="0" width="22"/>
    <col collapsed="false" customWidth="true" hidden="false" outlineLevel="0" max="9" min="9" style="0" width="48"/>
  </cols>
  <sheetData>
    <row r="1" customFormat="false" ht="17.35" hidden="false" customHeight="false" outlineLevel="0" collapsed="false">
      <c r="A1" s="20" t="s">
        <v>1642</v>
      </c>
    </row>
    <row r="3" customFormat="false" ht="15" hidden="false" customHeight="false" outlineLevel="0" collapsed="false">
      <c r="A3" s="3" t="s">
        <v>1643</v>
      </c>
      <c r="B3" s="4"/>
      <c r="C3" s="4"/>
      <c r="D3" s="4"/>
      <c r="E3" s="4"/>
      <c r="F3" s="4"/>
      <c r="G3" s="4"/>
      <c r="H3" s="4"/>
      <c r="I3" s="4"/>
    </row>
    <row r="4" customFormat="false" ht="30" hidden="false" customHeight="true" outlineLevel="0" collapsed="false">
      <c r="A4" s="21" t="s">
        <v>1644</v>
      </c>
      <c r="B4" s="21"/>
      <c r="C4" s="22" t="s">
        <v>1645</v>
      </c>
      <c r="D4" s="22"/>
      <c r="E4" s="22"/>
      <c r="F4" s="22"/>
      <c r="G4" s="22"/>
      <c r="H4" s="22"/>
      <c r="I4" s="22"/>
    </row>
    <row r="5" customFormat="false" ht="60" hidden="false" customHeight="true" outlineLevel="0" collapsed="false">
      <c r="A5" s="21" t="s">
        <v>1646</v>
      </c>
      <c r="B5" s="21"/>
      <c r="C5" s="22" t="s">
        <v>1647</v>
      </c>
      <c r="D5" s="22"/>
      <c r="E5" s="22"/>
      <c r="F5" s="22"/>
      <c r="G5" s="22"/>
      <c r="H5" s="22"/>
      <c r="I5" s="22"/>
    </row>
    <row r="6" customFormat="false" ht="45" hidden="false" customHeight="true" outlineLevel="0" collapsed="false">
      <c r="A6" s="21" t="s">
        <v>1648</v>
      </c>
      <c r="B6" s="21"/>
      <c r="C6" s="22" t="s">
        <v>1649</v>
      </c>
      <c r="D6" s="22"/>
      <c r="E6" s="22"/>
      <c r="F6" s="22"/>
      <c r="G6" s="22"/>
      <c r="H6" s="22"/>
      <c r="I6" s="22"/>
    </row>
    <row r="7" customFormat="false" ht="30" hidden="false" customHeight="true" outlineLevel="0" collapsed="false">
      <c r="A7" s="21" t="s">
        <v>1650</v>
      </c>
      <c r="B7" s="21"/>
      <c r="C7" s="22" t="s">
        <v>1651</v>
      </c>
      <c r="D7" s="22"/>
      <c r="E7" s="22"/>
      <c r="F7" s="22"/>
      <c r="G7" s="22"/>
      <c r="H7" s="22"/>
      <c r="I7" s="22"/>
    </row>
    <row r="8" customFormat="false" ht="30" hidden="false" customHeight="true" outlineLevel="0" collapsed="false">
      <c r="A8" s="21" t="s">
        <v>1652</v>
      </c>
      <c r="B8" s="21"/>
      <c r="C8" s="22" t="s">
        <v>1653</v>
      </c>
      <c r="D8" s="22"/>
      <c r="E8" s="22"/>
      <c r="F8" s="22"/>
      <c r="G8" s="22"/>
      <c r="H8" s="22"/>
      <c r="I8" s="22"/>
    </row>
    <row r="9" customFormat="false" ht="30" hidden="false" customHeight="true" outlineLevel="0" collapsed="false">
      <c r="A9" s="21" t="s">
        <v>1654</v>
      </c>
      <c r="B9" s="21"/>
      <c r="C9" s="22" t="s">
        <v>1655</v>
      </c>
      <c r="D9" s="22"/>
      <c r="E9" s="22"/>
      <c r="F9" s="22"/>
      <c r="G9" s="22"/>
      <c r="H9" s="22"/>
      <c r="I9" s="22"/>
    </row>
    <row r="10" customFormat="false" ht="30" hidden="false" customHeight="true" outlineLevel="0" collapsed="false">
      <c r="A10" s="21" t="s">
        <v>1656</v>
      </c>
      <c r="B10" s="21"/>
      <c r="C10" s="22" t="s">
        <v>1657</v>
      </c>
      <c r="D10" s="22"/>
      <c r="E10" s="22"/>
      <c r="F10" s="22"/>
      <c r="G10" s="22"/>
      <c r="H10" s="22"/>
      <c r="I10" s="22"/>
    </row>
    <row r="12" customFormat="false" ht="31.5" hidden="false" customHeight="true" outlineLevel="0" collapsed="false">
      <c r="A12" s="10" t="s">
        <v>1658</v>
      </c>
      <c r="B12" s="10" t="s">
        <v>1659</v>
      </c>
      <c r="C12" s="10" t="s">
        <v>1660</v>
      </c>
      <c r="D12" s="10" t="s">
        <v>1661</v>
      </c>
      <c r="E12" s="10" t="s">
        <v>1662</v>
      </c>
      <c r="F12" s="10" t="s">
        <v>79</v>
      </c>
      <c r="G12" s="10" t="s">
        <v>1663</v>
      </c>
      <c r="H12" s="10" t="s">
        <v>1664</v>
      </c>
      <c r="I12" s="10" t="s">
        <v>1665</v>
      </c>
    </row>
    <row r="13" customFormat="false" ht="23.85" hidden="false" customHeight="false" outlineLevel="0" collapsed="false">
      <c r="A13" s="23" t="s">
        <v>1666</v>
      </c>
      <c r="B13" s="13" t="n">
        <v>1</v>
      </c>
      <c r="C13" s="12" t="s">
        <v>1667</v>
      </c>
      <c r="D13" s="12" t="s">
        <v>1668</v>
      </c>
      <c r="E13" s="12" t="s">
        <v>1669</v>
      </c>
      <c r="F13" s="12" t="s">
        <v>1670</v>
      </c>
      <c r="G13" s="12" t="s">
        <v>573</v>
      </c>
      <c r="H13" s="12" t="s">
        <v>244</v>
      </c>
      <c r="I13" s="12" t="s">
        <v>1671</v>
      </c>
    </row>
    <row r="14" customFormat="false" ht="23.85" hidden="false" customHeight="false" outlineLevel="0" collapsed="false">
      <c r="A14" s="23" t="s">
        <v>1666</v>
      </c>
      <c r="B14" s="13" t="n">
        <v>2</v>
      </c>
      <c r="C14" s="12" t="s">
        <v>1672</v>
      </c>
      <c r="D14" s="12" t="s">
        <v>1673</v>
      </c>
      <c r="E14" s="12" t="s">
        <v>1674</v>
      </c>
      <c r="F14" s="12" t="s">
        <v>1675</v>
      </c>
      <c r="G14" s="12" t="s">
        <v>561</v>
      </c>
      <c r="H14" s="12" t="s">
        <v>1676</v>
      </c>
      <c r="I14" s="12" t="s">
        <v>1677</v>
      </c>
    </row>
    <row r="15" customFormat="false" ht="23.85" hidden="false" customHeight="false" outlineLevel="0" collapsed="false">
      <c r="A15" s="23" t="s">
        <v>1666</v>
      </c>
      <c r="B15" s="13" t="n">
        <v>3</v>
      </c>
      <c r="C15" s="12" t="s">
        <v>1678</v>
      </c>
      <c r="D15" s="12" t="s">
        <v>1679</v>
      </c>
      <c r="E15" s="12" t="s">
        <v>1680</v>
      </c>
      <c r="F15" s="12" t="s">
        <v>1681</v>
      </c>
      <c r="G15" s="12" t="s">
        <v>1682</v>
      </c>
      <c r="H15" s="12" t="s">
        <v>1683</v>
      </c>
      <c r="I15" s="12" t="s">
        <v>1684</v>
      </c>
    </row>
    <row r="16" customFormat="false" ht="23.85" hidden="false" customHeight="false" outlineLevel="0" collapsed="false">
      <c r="A16" s="23" t="s">
        <v>1666</v>
      </c>
      <c r="B16" s="13" t="n">
        <v>4</v>
      </c>
      <c r="C16" s="12" t="s">
        <v>1685</v>
      </c>
      <c r="D16" s="12" t="s">
        <v>1686</v>
      </c>
      <c r="E16" s="12" t="s">
        <v>1687</v>
      </c>
      <c r="F16" s="12" t="s">
        <v>1688</v>
      </c>
      <c r="G16" s="12" t="s">
        <v>573</v>
      </c>
      <c r="H16" s="12" t="s">
        <v>244</v>
      </c>
      <c r="I16" s="12" t="s">
        <v>1689</v>
      </c>
    </row>
    <row r="17" customFormat="false" ht="23.85" hidden="false" customHeight="false" outlineLevel="0" collapsed="false">
      <c r="A17" s="23" t="s">
        <v>1666</v>
      </c>
      <c r="B17" s="13" t="n">
        <v>5</v>
      </c>
      <c r="C17" s="12" t="s">
        <v>1690</v>
      </c>
      <c r="D17" s="12" t="s">
        <v>1691</v>
      </c>
      <c r="E17" s="12" t="s">
        <v>1692</v>
      </c>
      <c r="F17" s="12" t="s">
        <v>1693</v>
      </c>
      <c r="G17" s="12" t="s">
        <v>1087</v>
      </c>
      <c r="H17" s="12" t="s">
        <v>1694</v>
      </c>
      <c r="I17" s="12" t="s">
        <v>1695</v>
      </c>
    </row>
    <row r="18" customFormat="false" ht="35.05" hidden="false" customHeight="false" outlineLevel="0" collapsed="false">
      <c r="A18" s="23" t="s">
        <v>1666</v>
      </c>
      <c r="B18" s="13" t="n">
        <v>6</v>
      </c>
      <c r="C18" s="12" t="s">
        <v>1696</v>
      </c>
      <c r="D18" s="12" t="s">
        <v>1697</v>
      </c>
      <c r="E18" s="12" t="s">
        <v>1698</v>
      </c>
      <c r="F18" s="12" t="s">
        <v>1699</v>
      </c>
      <c r="G18" s="12" t="s">
        <v>1700</v>
      </c>
      <c r="H18" s="12" t="s">
        <v>1701</v>
      </c>
      <c r="I18" s="12" t="s">
        <v>1702</v>
      </c>
    </row>
    <row r="19" customFormat="false" ht="35.05" hidden="false" customHeight="false" outlineLevel="0" collapsed="false">
      <c r="A19" s="23" t="s">
        <v>1666</v>
      </c>
      <c r="B19" s="13" t="n">
        <v>7</v>
      </c>
      <c r="C19" s="12" t="s">
        <v>1703</v>
      </c>
      <c r="D19" s="12" t="s">
        <v>1704</v>
      </c>
      <c r="E19" s="12" t="s">
        <v>1705</v>
      </c>
      <c r="F19" s="12" t="s">
        <v>1706</v>
      </c>
      <c r="G19" s="12" t="s">
        <v>1707</v>
      </c>
      <c r="H19" s="12" t="s">
        <v>1708</v>
      </c>
      <c r="I19" s="12" t="s">
        <v>1709</v>
      </c>
    </row>
    <row r="20" customFormat="false" ht="23.85" hidden="false" customHeight="false" outlineLevel="0" collapsed="false">
      <c r="A20" s="23" t="s">
        <v>1666</v>
      </c>
      <c r="B20" s="13" t="n">
        <v>8</v>
      </c>
      <c r="C20" s="12" t="s">
        <v>1710</v>
      </c>
      <c r="D20" s="12" t="s">
        <v>1711</v>
      </c>
      <c r="E20" s="12" t="s">
        <v>244</v>
      </c>
      <c r="F20" s="12" t="s">
        <v>1712</v>
      </c>
      <c r="G20" s="12" t="s">
        <v>244</v>
      </c>
      <c r="H20" s="12" t="s">
        <v>244</v>
      </c>
      <c r="I20" s="12" t="s">
        <v>1713</v>
      </c>
    </row>
    <row r="21" customFormat="false" ht="23.85" hidden="false" customHeight="false" outlineLevel="0" collapsed="false">
      <c r="A21" s="24" t="s">
        <v>1714</v>
      </c>
      <c r="B21" s="13" t="n">
        <v>1</v>
      </c>
      <c r="C21" s="12" t="s">
        <v>1667</v>
      </c>
      <c r="D21" s="12" t="s">
        <v>1715</v>
      </c>
      <c r="E21" s="12" t="s">
        <v>1716</v>
      </c>
      <c r="F21" s="12" t="s">
        <v>1717</v>
      </c>
      <c r="G21" s="12" t="s">
        <v>1718</v>
      </c>
      <c r="H21" s="12" t="s">
        <v>1719</v>
      </c>
      <c r="I21" s="12" t="s">
        <v>1720</v>
      </c>
    </row>
    <row r="22" customFormat="false" ht="35.05" hidden="false" customHeight="false" outlineLevel="0" collapsed="false">
      <c r="A22" s="24" t="s">
        <v>1714</v>
      </c>
      <c r="B22" s="13" t="n">
        <v>2</v>
      </c>
      <c r="C22" s="12" t="s">
        <v>1672</v>
      </c>
      <c r="D22" s="12" t="s">
        <v>1721</v>
      </c>
      <c r="E22" s="12" t="s">
        <v>1722</v>
      </c>
      <c r="F22" s="12" t="s">
        <v>1723</v>
      </c>
      <c r="G22" s="12" t="s">
        <v>1724</v>
      </c>
      <c r="H22" s="12" t="s">
        <v>1725</v>
      </c>
      <c r="I22" s="12" t="s">
        <v>1726</v>
      </c>
    </row>
    <row r="23" customFormat="false" ht="23.85" hidden="false" customHeight="false" outlineLevel="0" collapsed="false">
      <c r="A23" s="24" t="s">
        <v>1714</v>
      </c>
      <c r="B23" s="13" t="n">
        <v>3</v>
      </c>
      <c r="C23" s="12" t="s">
        <v>1690</v>
      </c>
      <c r="D23" s="12" t="s">
        <v>1727</v>
      </c>
      <c r="E23" s="12" t="s">
        <v>1728</v>
      </c>
      <c r="F23" s="12" t="s">
        <v>1729</v>
      </c>
      <c r="G23" s="12" t="s">
        <v>1730</v>
      </c>
      <c r="H23" s="12" t="s">
        <v>1731</v>
      </c>
      <c r="I23" s="12" t="s">
        <v>1732</v>
      </c>
    </row>
    <row r="24" customFormat="false" ht="23.85" hidden="false" customHeight="false" outlineLevel="0" collapsed="false">
      <c r="A24" s="24" t="s">
        <v>1714</v>
      </c>
      <c r="B24" s="13" t="n">
        <v>4</v>
      </c>
      <c r="C24" s="12" t="s">
        <v>1733</v>
      </c>
      <c r="D24" s="12" t="s">
        <v>1734</v>
      </c>
      <c r="E24" s="12" t="s">
        <v>1735</v>
      </c>
      <c r="F24" s="12" t="s">
        <v>1736</v>
      </c>
      <c r="G24" s="12" t="s">
        <v>1737</v>
      </c>
      <c r="H24" s="12" t="s">
        <v>1738</v>
      </c>
      <c r="I24" s="12" t="s">
        <v>1739</v>
      </c>
    </row>
    <row r="25" customFormat="false" ht="23.85" hidden="false" customHeight="false" outlineLevel="0" collapsed="false">
      <c r="A25" s="24" t="s">
        <v>1714</v>
      </c>
      <c r="B25" s="13" t="n">
        <v>5</v>
      </c>
      <c r="C25" s="12" t="s">
        <v>1740</v>
      </c>
      <c r="D25" s="12" t="s">
        <v>1741</v>
      </c>
      <c r="E25" s="12" t="s">
        <v>1742</v>
      </c>
      <c r="F25" s="12" t="s">
        <v>1743</v>
      </c>
      <c r="G25" s="12" t="s">
        <v>1744</v>
      </c>
      <c r="H25" s="12" t="s">
        <v>1745</v>
      </c>
      <c r="I25" s="12" t="s">
        <v>1746</v>
      </c>
    </row>
    <row r="26" customFormat="false" ht="15" hidden="false" customHeight="false" outlineLevel="0" collapsed="false">
      <c r="A26" s="24" t="s">
        <v>1714</v>
      </c>
      <c r="B26" s="13" t="n">
        <v>6</v>
      </c>
      <c r="C26" s="12" t="s">
        <v>1747</v>
      </c>
      <c r="D26" s="12" t="s">
        <v>1748</v>
      </c>
      <c r="E26" s="12" t="s">
        <v>1749</v>
      </c>
      <c r="F26" s="12" t="s">
        <v>1750</v>
      </c>
      <c r="G26" s="12" t="s">
        <v>1751</v>
      </c>
      <c r="H26" s="12" t="s">
        <v>1752</v>
      </c>
      <c r="I26" s="12" t="s">
        <v>1753</v>
      </c>
    </row>
    <row r="27" customFormat="false" ht="23.85" hidden="false" customHeight="false" outlineLevel="0" collapsed="false">
      <c r="A27" s="24" t="s">
        <v>1714</v>
      </c>
      <c r="B27" s="13" t="n">
        <v>7</v>
      </c>
      <c r="C27" s="12" t="s">
        <v>1754</v>
      </c>
      <c r="D27" s="12" t="s">
        <v>1755</v>
      </c>
      <c r="E27" s="12" t="s">
        <v>1756</v>
      </c>
      <c r="F27" s="12" t="s">
        <v>1757</v>
      </c>
      <c r="G27" s="12" t="s">
        <v>1758</v>
      </c>
      <c r="H27" s="12" t="s">
        <v>1752</v>
      </c>
      <c r="I27" s="12" t="s">
        <v>1759</v>
      </c>
    </row>
    <row r="28" customFormat="false" ht="23.85" hidden="false" customHeight="false" outlineLevel="0" collapsed="false">
      <c r="A28" s="24" t="s">
        <v>1714</v>
      </c>
      <c r="B28" s="13" t="n">
        <v>8</v>
      </c>
      <c r="C28" s="12" t="s">
        <v>1710</v>
      </c>
      <c r="D28" s="12" t="s">
        <v>1760</v>
      </c>
      <c r="E28" s="12" t="s">
        <v>244</v>
      </c>
      <c r="F28" s="12" t="s">
        <v>1712</v>
      </c>
      <c r="G28" s="12" t="s">
        <v>244</v>
      </c>
      <c r="H28" s="12" t="s">
        <v>244</v>
      </c>
      <c r="I28" s="12"/>
    </row>
    <row r="29" customFormat="false" ht="23.85" hidden="false" customHeight="false" outlineLevel="0" collapsed="false">
      <c r="A29" s="25" t="s">
        <v>1761</v>
      </c>
      <c r="B29" s="13" t="n">
        <v>1</v>
      </c>
      <c r="C29" s="12" t="s">
        <v>1667</v>
      </c>
      <c r="D29" s="12" t="s">
        <v>1762</v>
      </c>
      <c r="E29" s="12" t="s">
        <v>1763</v>
      </c>
      <c r="F29" s="12" t="s">
        <v>1764</v>
      </c>
      <c r="G29" s="12" t="s">
        <v>1718</v>
      </c>
      <c r="H29" s="12" t="s">
        <v>244</v>
      </c>
      <c r="I29" s="12"/>
    </row>
    <row r="30" customFormat="false" ht="35.05" hidden="false" customHeight="false" outlineLevel="0" collapsed="false">
      <c r="A30" s="25" t="s">
        <v>1761</v>
      </c>
      <c r="B30" s="13" t="n">
        <v>2</v>
      </c>
      <c r="C30" s="12" t="s">
        <v>1672</v>
      </c>
      <c r="D30" s="12" t="s">
        <v>1765</v>
      </c>
      <c r="E30" s="12" t="s">
        <v>1766</v>
      </c>
      <c r="F30" s="12" t="s">
        <v>1767</v>
      </c>
      <c r="G30" s="12" t="s">
        <v>1768</v>
      </c>
      <c r="H30" s="12" t="s">
        <v>1769</v>
      </c>
      <c r="I30" s="12" t="s">
        <v>1770</v>
      </c>
    </row>
    <row r="31" customFormat="false" ht="23.85" hidden="false" customHeight="false" outlineLevel="0" collapsed="false">
      <c r="A31" s="25" t="s">
        <v>1761</v>
      </c>
      <c r="B31" s="13" t="n">
        <v>3</v>
      </c>
      <c r="C31" s="12" t="s">
        <v>1771</v>
      </c>
      <c r="D31" s="12" t="s">
        <v>1772</v>
      </c>
      <c r="E31" s="12" t="s">
        <v>1773</v>
      </c>
      <c r="F31" s="12" t="s">
        <v>1774</v>
      </c>
      <c r="G31" s="12" t="s">
        <v>1775</v>
      </c>
      <c r="H31" s="12" t="s">
        <v>1776</v>
      </c>
      <c r="I31" s="12" t="s">
        <v>1777</v>
      </c>
    </row>
    <row r="32" customFormat="false" ht="23.85" hidden="false" customHeight="false" outlineLevel="0" collapsed="false">
      <c r="A32" s="25" t="s">
        <v>1761</v>
      </c>
      <c r="B32" s="13" t="n">
        <v>4</v>
      </c>
      <c r="C32" s="12" t="s">
        <v>1778</v>
      </c>
      <c r="D32" s="12" t="s">
        <v>1779</v>
      </c>
      <c r="E32" s="12" t="s">
        <v>1780</v>
      </c>
      <c r="F32" s="12" t="s">
        <v>1781</v>
      </c>
      <c r="G32" s="12" t="s">
        <v>1782</v>
      </c>
      <c r="H32" s="12" t="s">
        <v>1783</v>
      </c>
      <c r="I32" s="12" t="s">
        <v>1784</v>
      </c>
    </row>
    <row r="33" customFormat="false" ht="23.85" hidden="false" customHeight="false" outlineLevel="0" collapsed="false">
      <c r="A33" s="25" t="s">
        <v>1761</v>
      </c>
      <c r="B33" s="13" t="n">
        <v>5</v>
      </c>
      <c r="C33" s="12" t="s">
        <v>1785</v>
      </c>
      <c r="D33" s="12" t="s">
        <v>1786</v>
      </c>
      <c r="E33" s="12" t="s">
        <v>1787</v>
      </c>
      <c r="F33" s="12" t="s">
        <v>1788</v>
      </c>
      <c r="G33" s="12" t="s">
        <v>1789</v>
      </c>
      <c r="H33" s="12" t="s">
        <v>1790</v>
      </c>
      <c r="I33" s="12" t="s">
        <v>1791</v>
      </c>
    </row>
    <row r="34" customFormat="false" ht="23.85" hidden="false" customHeight="false" outlineLevel="0" collapsed="false">
      <c r="A34" s="25" t="s">
        <v>1761</v>
      </c>
      <c r="B34" s="13" t="n">
        <v>6</v>
      </c>
      <c r="C34" s="12" t="s">
        <v>1792</v>
      </c>
      <c r="D34" s="12" t="s">
        <v>1793</v>
      </c>
      <c r="E34" s="12" t="s">
        <v>1794</v>
      </c>
      <c r="F34" s="12" t="s">
        <v>1795</v>
      </c>
      <c r="G34" s="12" t="s">
        <v>327</v>
      </c>
      <c r="H34" s="12" t="s">
        <v>1796</v>
      </c>
      <c r="I34" s="12" t="s">
        <v>1797</v>
      </c>
    </row>
    <row r="35" customFormat="false" ht="23.85" hidden="false" customHeight="false" outlineLevel="0" collapsed="false">
      <c r="A35" s="25" t="s">
        <v>1761</v>
      </c>
      <c r="B35" s="13" t="n">
        <v>7</v>
      </c>
      <c r="C35" s="12" t="s">
        <v>1740</v>
      </c>
      <c r="D35" s="12" t="s">
        <v>1798</v>
      </c>
      <c r="E35" s="12" t="s">
        <v>1799</v>
      </c>
      <c r="F35" s="12" t="s">
        <v>1743</v>
      </c>
      <c r="G35" s="12" t="s">
        <v>1800</v>
      </c>
      <c r="H35" s="12" t="s">
        <v>1801</v>
      </c>
      <c r="I35" s="12"/>
    </row>
    <row r="36" customFormat="false" ht="23.85" hidden="false" customHeight="false" outlineLevel="0" collapsed="false">
      <c r="A36" s="25" t="s">
        <v>1761</v>
      </c>
      <c r="B36" s="13" t="n">
        <v>8</v>
      </c>
      <c r="C36" s="12" t="s">
        <v>1802</v>
      </c>
      <c r="D36" s="12" t="s">
        <v>1803</v>
      </c>
      <c r="E36" s="12" t="s">
        <v>1804</v>
      </c>
      <c r="F36" s="12" t="s">
        <v>1805</v>
      </c>
      <c r="G36" s="12" t="s">
        <v>1806</v>
      </c>
      <c r="H36" s="12" t="s">
        <v>1807</v>
      </c>
      <c r="I36" s="12" t="s">
        <v>1808</v>
      </c>
    </row>
    <row r="37" customFormat="false" ht="23.85" hidden="false" customHeight="false" outlineLevel="0" collapsed="false">
      <c r="A37" s="25" t="s">
        <v>1761</v>
      </c>
      <c r="B37" s="13" t="n">
        <v>9</v>
      </c>
      <c r="C37" s="12" t="s">
        <v>1710</v>
      </c>
      <c r="D37" s="12" t="s">
        <v>1809</v>
      </c>
      <c r="E37" s="12" t="s">
        <v>244</v>
      </c>
      <c r="F37" s="12" t="s">
        <v>1712</v>
      </c>
      <c r="G37" s="12" t="s">
        <v>244</v>
      </c>
      <c r="H37" s="12" t="s">
        <v>244</v>
      </c>
      <c r="I37" s="12" t="s">
        <v>1810</v>
      </c>
    </row>
    <row r="38" customFormat="false" ht="23.85" hidden="false" customHeight="false" outlineLevel="0" collapsed="false">
      <c r="A38" s="26" t="s">
        <v>1811</v>
      </c>
      <c r="B38" s="13" t="n">
        <v>1</v>
      </c>
      <c r="C38" s="12" t="s">
        <v>1667</v>
      </c>
      <c r="D38" s="12" t="s">
        <v>1812</v>
      </c>
      <c r="E38" s="12" t="s">
        <v>244</v>
      </c>
      <c r="F38" s="12" t="s">
        <v>1712</v>
      </c>
      <c r="G38" s="12" t="s">
        <v>244</v>
      </c>
      <c r="H38" s="12" t="s">
        <v>244</v>
      </c>
      <c r="I38" s="12" t="s">
        <v>1813</v>
      </c>
    </row>
    <row r="39" customFormat="false" ht="23.85" hidden="false" customHeight="false" outlineLevel="0" collapsed="false">
      <c r="A39" s="26" t="s">
        <v>1811</v>
      </c>
      <c r="B39" s="13" t="n">
        <v>2</v>
      </c>
      <c r="C39" s="12" t="s">
        <v>1814</v>
      </c>
      <c r="D39" s="12" t="s">
        <v>1815</v>
      </c>
      <c r="E39" s="12" t="s">
        <v>1816</v>
      </c>
      <c r="F39" s="12" t="s">
        <v>1817</v>
      </c>
      <c r="G39" s="12" t="s">
        <v>1818</v>
      </c>
      <c r="H39" s="12" t="s">
        <v>1819</v>
      </c>
      <c r="I39" s="12" t="s">
        <v>1820</v>
      </c>
    </row>
    <row r="40" customFormat="false" ht="35.05" hidden="false" customHeight="false" outlineLevel="0" collapsed="false">
      <c r="A40" s="26" t="s">
        <v>1811</v>
      </c>
      <c r="B40" s="13" t="n">
        <v>3</v>
      </c>
      <c r="C40" s="12" t="s">
        <v>1821</v>
      </c>
      <c r="D40" s="12" t="s">
        <v>1822</v>
      </c>
      <c r="E40" s="12" t="s">
        <v>1823</v>
      </c>
      <c r="F40" s="12" t="s">
        <v>1824</v>
      </c>
      <c r="G40" s="12" t="s">
        <v>1825</v>
      </c>
      <c r="H40" s="12" t="s">
        <v>1826</v>
      </c>
      <c r="I40" s="12" t="s">
        <v>1827</v>
      </c>
    </row>
    <row r="41" customFormat="false" ht="35.05" hidden="false" customHeight="false" outlineLevel="0" collapsed="false">
      <c r="A41" s="26" t="s">
        <v>1811</v>
      </c>
      <c r="B41" s="13" t="n">
        <v>4</v>
      </c>
      <c r="C41" s="12" t="s">
        <v>1828</v>
      </c>
      <c r="D41" s="12" t="s">
        <v>1829</v>
      </c>
      <c r="E41" s="12" t="s">
        <v>1830</v>
      </c>
      <c r="F41" s="12" t="s">
        <v>1831</v>
      </c>
      <c r="G41" s="12" t="s">
        <v>1832</v>
      </c>
      <c r="H41" s="12" t="s">
        <v>1833</v>
      </c>
      <c r="I41" s="12"/>
    </row>
    <row r="42" customFormat="false" ht="23.85" hidden="false" customHeight="false" outlineLevel="0" collapsed="false">
      <c r="A42" s="26" t="s">
        <v>1811</v>
      </c>
      <c r="B42" s="13" t="n">
        <v>5</v>
      </c>
      <c r="C42" s="12" t="s">
        <v>1740</v>
      </c>
      <c r="D42" s="12" t="s">
        <v>1834</v>
      </c>
      <c r="E42" s="12" t="s">
        <v>1835</v>
      </c>
      <c r="F42" s="12" t="s">
        <v>1836</v>
      </c>
      <c r="G42" s="12" t="s">
        <v>1837</v>
      </c>
      <c r="H42" s="12" t="s">
        <v>1838</v>
      </c>
      <c r="I42" s="12"/>
    </row>
    <row r="43" customFormat="false" ht="23.85" hidden="false" customHeight="false" outlineLevel="0" collapsed="false">
      <c r="A43" s="26" t="s">
        <v>1811</v>
      </c>
      <c r="B43" s="13" t="n">
        <v>6</v>
      </c>
      <c r="C43" s="12" t="s">
        <v>1839</v>
      </c>
      <c r="D43" s="12" t="s">
        <v>1840</v>
      </c>
      <c r="E43" s="12" t="s">
        <v>1841</v>
      </c>
      <c r="F43" s="12" t="s">
        <v>1842</v>
      </c>
      <c r="G43" s="12" t="s">
        <v>1843</v>
      </c>
      <c r="H43" s="12" t="s">
        <v>1844</v>
      </c>
      <c r="I43" s="12" t="s">
        <v>1845</v>
      </c>
    </row>
    <row r="44" customFormat="false" ht="23.85" hidden="false" customHeight="false" outlineLevel="0" collapsed="false">
      <c r="A44" s="26" t="s">
        <v>1811</v>
      </c>
      <c r="B44" s="13" t="n">
        <v>7</v>
      </c>
      <c r="C44" s="12" t="s">
        <v>680</v>
      </c>
      <c r="D44" s="12" t="s">
        <v>1846</v>
      </c>
      <c r="E44" s="12" t="s">
        <v>1847</v>
      </c>
      <c r="F44" s="12" t="s">
        <v>1848</v>
      </c>
      <c r="G44" s="12" t="s">
        <v>327</v>
      </c>
      <c r="H44" s="12" t="s">
        <v>1849</v>
      </c>
      <c r="I44" s="12"/>
    </row>
    <row r="45" customFormat="false" ht="23.85" hidden="false" customHeight="false" outlineLevel="0" collapsed="false">
      <c r="A45" s="26" t="s">
        <v>1811</v>
      </c>
      <c r="B45" s="13" t="n">
        <v>8</v>
      </c>
      <c r="C45" s="12" t="s">
        <v>1850</v>
      </c>
      <c r="D45" s="12" t="s">
        <v>1851</v>
      </c>
      <c r="E45" s="12" t="s">
        <v>1852</v>
      </c>
      <c r="F45" s="12" t="s">
        <v>1853</v>
      </c>
      <c r="G45" s="12" t="s">
        <v>1854</v>
      </c>
      <c r="H45" s="12" t="s">
        <v>1855</v>
      </c>
      <c r="I45" s="12" t="s">
        <v>1856</v>
      </c>
    </row>
    <row r="46" customFormat="false" ht="23.85" hidden="false" customHeight="false" outlineLevel="0" collapsed="false">
      <c r="A46" s="27" t="s">
        <v>1857</v>
      </c>
      <c r="B46" s="13" t="n">
        <v>1</v>
      </c>
      <c r="C46" s="12" t="s">
        <v>1667</v>
      </c>
      <c r="D46" s="12" t="s">
        <v>1858</v>
      </c>
      <c r="E46" s="12" t="s">
        <v>244</v>
      </c>
      <c r="F46" s="12" t="s">
        <v>1859</v>
      </c>
      <c r="G46" s="12" t="s">
        <v>244</v>
      </c>
      <c r="H46" s="12" t="s">
        <v>244</v>
      </c>
      <c r="I46" s="12" t="s">
        <v>1860</v>
      </c>
    </row>
    <row r="47" customFormat="false" ht="23.85" hidden="false" customHeight="false" outlineLevel="0" collapsed="false">
      <c r="A47" s="27" t="s">
        <v>1857</v>
      </c>
      <c r="B47" s="13" t="n">
        <v>2</v>
      </c>
      <c r="C47" s="12" t="s">
        <v>1861</v>
      </c>
      <c r="D47" s="12" t="s">
        <v>1862</v>
      </c>
      <c r="E47" s="12" t="s">
        <v>1863</v>
      </c>
      <c r="F47" s="12" t="s">
        <v>1864</v>
      </c>
      <c r="G47" s="12" t="s">
        <v>1865</v>
      </c>
      <c r="H47" s="12" t="s">
        <v>1866</v>
      </c>
      <c r="I47" s="12" t="s">
        <v>1867</v>
      </c>
    </row>
    <row r="48" customFormat="false" ht="23.85" hidden="false" customHeight="false" outlineLevel="0" collapsed="false">
      <c r="A48" s="27" t="s">
        <v>1857</v>
      </c>
      <c r="B48" s="13" t="n">
        <v>3</v>
      </c>
      <c r="C48" s="12" t="s">
        <v>1821</v>
      </c>
      <c r="D48" s="12" t="s">
        <v>1868</v>
      </c>
      <c r="E48" s="12" t="s">
        <v>1869</v>
      </c>
      <c r="F48" s="12" t="s">
        <v>1864</v>
      </c>
      <c r="G48" s="12" t="s">
        <v>1870</v>
      </c>
      <c r="H48" s="12" t="s">
        <v>1866</v>
      </c>
      <c r="I48" s="12"/>
    </row>
    <row r="49" customFormat="false" ht="23.85" hidden="false" customHeight="false" outlineLevel="0" collapsed="false">
      <c r="A49" s="27" t="s">
        <v>1857</v>
      </c>
      <c r="B49" s="13" t="n">
        <v>4</v>
      </c>
      <c r="C49" s="12" t="s">
        <v>1871</v>
      </c>
      <c r="D49" s="12" t="s">
        <v>1872</v>
      </c>
      <c r="E49" s="12" t="s">
        <v>1873</v>
      </c>
      <c r="F49" s="12" t="s">
        <v>1864</v>
      </c>
      <c r="G49" s="12" t="s">
        <v>1874</v>
      </c>
      <c r="H49" s="12" t="s">
        <v>1875</v>
      </c>
      <c r="I49" s="12" t="s">
        <v>1876</v>
      </c>
    </row>
    <row r="50" customFormat="false" ht="23.85" hidden="false" customHeight="false" outlineLevel="0" collapsed="false">
      <c r="A50" s="27" t="s">
        <v>1857</v>
      </c>
      <c r="B50" s="13" t="n">
        <v>5</v>
      </c>
      <c r="C50" s="12" t="s">
        <v>1877</v>
      </c>
      <c r="D50" s="12" t="s">
        <v>1878</v>
      </c>
      <c r="E50" s="12" t="s">
        <v>1879</v>
      </c>
      <c r="F50" s="12" t="s">
        <v>1880</v>
      </c>
      <c r="G50" s="12" t="s">
        <v>1881</v>
      </c>
      <c r="H50" s="12" t="s">
        <v>1882</v>
      </c>
      <c r="I50" s="12"/>
    </row>
    <row r="51" customFormat="false" ht="35.05" hidden="false" customHeight="false" outlineLevel="0" collapsed="false">
      <c r="A51" s="27" t="s">
        <v>1857</v>
      </c>
      <c r="B51" s="13" t="n">
        <v>6</v>
      </c>
      <c r="C51" s="12" t="s">
        <v>1883</v>
      </c>
      <c r="D51" s="12" t="s">
        <v>1884</v>
      </c>
      <c r="E51" s="12" t="s">
        <v>1885</v>
      </c>
      <c r="F51" s="12" t="s">
        <v>1886</v>
      </c>
      <c r="G51" s="12" t="s">
        <v>1887</v>
      </c>
      <c r="H51" s="12" t="s">
        <v>1783</v>
      </c>
      <c r="I51" s="12" t="s">
        <v>1888</v>
      </c>
    </row>
    <row r="52" customFormat="false" ht="23.85" hidden="false" customHeight="false" outlineLevel="0" collapsed="false">
      <c r="A52" s="27" t="s">
        <v>1857</v>
      </c>
      <c r="B52" s="13" t="n">
        <v>7</v>
      </c>
      <c r="C52" s="12" t="s">
        <v>1889</v>
      </c>
      <c r="D52" s="12" t="s">
        <v>1890</v>
      </c>
      <c r="E52" s="12" t="s">
        <v>1891</v>
      </c>
      <c r="F52" s="12" t="s">
        <v>1892</v>
      </c>
      <c r="G52" s="12" t="s">
        <v>1893</v>
      </c>
      <c r="H52" s="12" t="s">
        <v>1894</v>
      </c>
      <c r="I52" s="12" t="s">
        <v>1895</v>
      </c>
    </row>
    <row r="53" customFormat="false" ht="23.85" hidden="false" customHeight="false" outlineLevel="0" collapsed="false">
      <c r="A53" s="27" t="s">
        <v>1857</v>
      </c>
      <c r="B53" s="13" t="n">
        <v>8</v>
      </c>
      <c r="C53" s="12" t="s">
        <v>1896</v>
      </c>
      <c r="D53" s="12" t="s">
        <v>1897</v>
      </c>
      <c r="E53" s="12" t="s">
        <v>1898</v>
      </c>
      <c r="F53" s="12" t="s">
        <v>1899</v>
      </c>
      <c r="G53" s="12" t="s">
        <v>1900</v>
      </c>
      <c r="H53" s="12" t="s">
        <v>1901</v>
      </c>
      <c r="I53" s="12" t="s">
        <v>1902</v>
      </c>
    </row>
    <row r="54" customFormat="false" ht="46.25" hidden="false" customHeight="false" outlineLevel="0" collapsed="false">
      <c r="A54" s="27" t="s">
        <v>1857</v>
      </c>
      <c r="B54" s="13" t="n">
        <v>9</v>
      </c>
      <c r="C54" s="12" t="s">
        <v>1903</v>
      </c>
      <c r="D54" s="12" t="s">
        <v>1904</v>
      </c>
      <c r="E54" s="12" t="s">
        <v>1905</v>
      </c>
      <c r="F54" s="12" t="s">
        <v>1853</v>
      </c>
      <c r="G54" s="12" t="s">
        <v>1906</v>
      </c>
      <c r="H54" s="12" t="s">
        <v>1907</v>
      </c>
      <c r="I54" s="12" t="s">
        <v>1908</v>
      </c>
    </row>
    <row r="55" customFormat="false" ht="23.85" hidden="false" customHeight="false" outlineLevel="0" collapsed="false">
      <c r="A55" s="28" t="s">
        <v>1909</v>
      </c>
      <c r="B55" s="13" t="n">
        <v>1</v>
      </c>
      <c r="C55" s="12" t="s">
        <v>1667</v>
      </c>
      <c r="D55" s="12" t="s">
        <v>1910</v>
      </c>
      <c r="E55" s="12" t="s">
        <v>244</v>
      </c>
      <c r="F55" s="12" t="s">
        <v>1859</v>
      </c>
      <c r="G55" s="12" t="s">
        <v>244</v>
      </c>
      <c r="H55" s="12" t="s">
        <v>244</v>
      </c>
      <c r="I55" s="12" t="s">
        <v>1911</v>
      </c>
    </row>
    <row r="56" customFormat="false" ht="23.85" hidden="false" customHeight="false" outlineLevel="0" collapsed="false">
      <c r="A56" s="28" t="s">
        <v>1909</v>
      </c>
      <c r="B56" s="13" t="n">
        <v>2</v>
      </c>
      <c r="C56" s="12" t="s">
        <v>1912</v>
      </c>
      <c r="D56" s="12" t="s">
        <v>1913</v>
      </c>
      <c r="E56" s="12" t="s">
        <v>1914</v>
      </c>
      <c r="F56" s="12" t="s">
        <v>1915</v>
      </c>
      <c r="G56" s="12" t="s">
        <v>1916</v>
      </c>
      <c r="H56" s="12" t="s">
        <v>1917</v>
      </c>
      <c r="I56" s="12" t="s">
        <v>1918</v>
      </c>
    </row>
    <row r="57" customFormat="false" ht="23.85" hidden="false" customHeight="false" outlineLevel="0" collapsed="false">
      <c r="A57" s="28" t="s">
        <v>1909</v>
      </c>
      <c r="B57" s="13" t="n">
        <v>3</v>
      </c>
      <c r="C57" s="12" t="s">
        <v>1919</v>
      </c>
      <c r="D57" s="12" t="s">
        <v>1920</v>
      </c>
      <c r="E57" s="12" t="s">
        <v>1921</v>
      </c>
      <c r="F57" s="12" t="s">
        <v>1922</v>
      </c>
      <c r="G57" s="12" t="s">
        <v>1923</v>
      </c>
      <c r="H57" s="12" t="s">
        <v>1924</v>
      </c>
      <c r="I57" s="12" t="s">
        <v>1925</v>
      </c>
    </row>
    <row r="58" customFormat="false" ht="35.05" hidden="false" customHeight="false" outlineLevel="0" collapsed="false">
      <c r="A58" s="28" t="s">
        <v>1909</v>
      </c>
      <c r="B58" s="13" t="n">
        <v>4</v>
      </c>
      <c r="C58" s="12" t="s">
        <v>1926</v>
      </c>
      <c r="D58" s="12" t="s">
        <v>1927</v>
      </c>
      <c r="E58" s="12" t="s">
        <v>1928</v>
      </c>
      <c r="F58" s="12" t="s">
        <v>1929</v>
      </c>
      <c r="G58" s="12" t="s">
        <v>1930</v>
      </c>
      <c r="H58" s="12" t="s">
        <v>1931</v>
      </c>
      <c r="I58" s="12" t="s">
        <v>1932</v>
      </c>
    </row>
    <row r="59" customFormat="false" ht="23.85" hidden="false" customHeight="false" outlineLevel="0" collapsed="false">
      <c r="A59" s="28" t="s">
        <v>1909</v>
      </c>
      <c r="B59" s="13" t="n">
        <v>5</v>
      </c>
      <c r="C59" s="12" t="s">
        <v>1933</v>
      </c>
      <c r="D59" s="12" t="s">
        <v>1934</v>
      </c>
      <c r="E59" s="12" t="s">
        <v>1935</v>
      </c>
      <c r="F59" s="12" t="s">
        <v>1936</v>
      </c>
      <c r="G59" s="12" t="s">
        <v>1937</v>
      </c>
      <c r="H59" s="12" t="s">
        <v>1938</v>
      </c>
      <c r="I59" s="12" t="s">
        <v>1939</v>
      </c>
    </row>
    <row r="60" customFormat="false" ht="35.05" hidden="false" customHeight="false" outlineLevel="0" collapsed="false">
      <c r="A60" s="28" t="s">
        <v>1909</v>
      </c>
      <c r="B60" s="13" t="n">
        <v>6</v>
      </c>
      <c r="C60" s="12" t="s">
        <v>1940</v>
      </c>
      <c r="D60" s="12" t="s">
        <v>1941</v>
      </c>
      <c r="E60" s="12" t="s">
        <v>1942</v>
      </c>
      <c r="F60" s="12" t="s">
        <v>1836</v>
      </c>
      <c r="G60" s="12" t="s">
        <v>1943</v>
      </c>
      <c r="H60" s="12" t="s">
        <v>1944</v>
      </c>
      <c r="I60" s="12"/>
    </row>
    <row r="61" customFormat="false" ht="23.85" hidden="false" customHeight="false" outlineLevel="0" collapsed="false">
      <c r="A61" s="28" t="s">
        <v>1909</v>
      </c>
      <c r="B61" s="13" t="n">
        <v>7</v>
      </c>
      <c r="C61" s="12" t="s">
        <v>1802</v>
      </c>
      <c r="D61" s="12" t="s">
        <v>1945</v>
      </c>
      <c r="E61" s="12" t="s">
        <v>1946</v>
      </c>
      <c r="F61" s="12" t="s">
        <v>1842</v>
      </c>
      <c r="G61" s="12" t="s">
        <v>327</v>
      </c>
      <c r="H61" s="12" t="s">
        <v>1947</v>
      </c>
      <c r="I61" s="12"/>
    </row>
    <row r="62" customFormat="false" ht="23.85" hidden="false" customHeight="false" outlineLevel="0" collapsed="false">
      <c r="A62" s="28" t="s">
        <v>1909</v>
      </c>
      <c r="B62" s="13" t="n">
        <v>8</v>
      </c>
      <c r="C62" s="12" t="s">
        <v>1948</v>
      </c>
      <c r="D62" s="12" t="s">
        <v>1949</v>
      </c>
      <c r="E62" s="12" t="s">
        <v>1950</v>
      </c>
      <c r="F62" s="12" t="s">
        <v>1951</v>
      </c>
      <c r="G62" s="12" t="s">
        <v>1952</v>
      </c>
      <c r="H62" s="12" t="s">
        <v>1953</v>
      </c>
      <c r="I62" s="12" t="s">
        <v>1954</v>
      </c>
    </row>
    <row r="63" customFormat="false" ht="35.05" hidden="false" customHeight="false" outlineLevel="0" collapsed="false">
      <c r="A63" s="29" t="s">
        <v>1955</v>
      </c>
      <c r="B63" s="13" t="n">
        <v>1</v>
      </c>
      <c r="C63" s="12" t="s">
        <v>1667</v>
      </c>
      <c r="D63" s="12" t="s">
        <v>1956</v>
      </c>
      <c r="E63" s="12" t="s">
        <v>244</v>
      </c>
      <c r="F63" s="12" t="s">
        <v>1859</v>
      </c>
      <c r="G63" s="12" t="s">
        <v>244</v>
      </c>
      <c r="H63" s="12" t="s">
        <v>244</v>
      </c>
      <c r="I63" s="12" t="s">
        <v>1957</v>
      </c>
    </row>
    <row r="64" customFormat="false" ht="23.85" hidden="false" customHeight="false" outlineLevel="0" collapsed="false">
      <c r="A64" s="29" t="s">
        <v>1955</v>
      </c>
      <c r="B64" s="13" t="n">
        <v>2</v>
      </c>
      <c r="C64" s="12" t="s">
        <v>1861</v>
      </c>
      <c r="D64" s="12" t="s">
        <v>1958</v>
      </c>
      <c r="E64" s="12" t="s">
        <v>1959</v>
      </c>
      <c r="F64" s="12" t="s">
        <v>1929</v>
      </c>
      <c r="G64" s="12" t="s">
        <v>1930</v>
      </c>
      <c r="H64" s="12" t="s">
        <v>1960</v>
      </c>
      <c r="I64" s="12" t="s">
        <v>1961</v>
      </c>
    </row>
    <row r="65" customFormat="false" ht="23.85" hidden="false" customHeight="false" outlineLevel="0" collapsed="false">
      <c r="A65" s="29" t="s">
        <v>1955</v>
      </c>
      <c r="B65" s="13" t="n">
        <v>3</v>
      </c>
      <c r="C65" s="12" t="s">
        <v>1962</v>
      </c>
      <c r="D65" s="12" t="s">
        <v>1963</v>
      </c>
      <c r="E65" s="12" t="s">
        <v>1964</v>
      </c>
      <c r="F65" s="12" t="s">
        <v>1965</v>
      </c>
      <c r="G65" s="12" t="s">
        <v>1937</v>
      </c>
      <c r="H65" s="12" t="s">
        <v>1947</v>
      </c>
      <c r="I65" s="12" t="s">
        <v>1966</v>
      </c>
    </row>
    <row r="66" customFormat="false" ht="23.85" hidden="false" customHeight="false" outlineLevel="0" collapsed="false">
      <c r="A66" s="29" t="s">
        <v>1955</v>
      </c>
      <c r="B66" s="13" t="n">
        <v>4</v>
      </c>
      <c r="C66" s="12" t="s">
        <v>1967</v>
      </c>
      <c r="D66" s="12" t="s">
        <v>1968</v>
      </c>
      <c r="E66" s="12" t="s">
        <v>1969</v>
      </c>
      <c r="F66" s="12" t="s">
        <v>1970</v>
      </c>
      <c r="G66" s="12" t="s">
        <v>1916</v>
      </c>
      <c r="H66" s="12" t="s">
        <v>1971</v>
      </c>
      <c r="I66" s="12" t="s">
        <v>1972</v>
      </c>
    </row>
    <row r="67" customFormat="false" ht="23.85" hidden="false" customHeight="false" outlineLevel="0" collapsed="false">
      <c r="A67" s="29" t="s">
        <v>1955</v>
      </c>
      <c r="B67" s="13" t="n">
        <v>5</v>
      </c>
      <c r="C67" s="12" t="s">
        <v>1973</v>
      </c>
      <c r="D67" s="12" t="s">
        <v>1974</v>
      </c>
      <c r="E67" s="12" t="s">
        <v>1975</v>
      </c>
      <c r="F67" s="12" t="s">
        <v>1976</v>
      </c>
      <c r="G67" s="12" t="s">
        <v>1977</v>
      </c>
      <c r="H67" s="12" t="s">
        <v>1978</v>
      </c>
      <c r="I67" s="12"/>
    </row>
    <row r="68" customFormat="false" ht="23.85" hidden="false" customHeight="false" outlineLevel="0" collapsed="false">
      <c r="A68" s="29" t="s">
        <v>1955</v>
      </c>
      <c r="B68" s="13" t="n">
        <v>6</v>
      </c>
      <c r="C68" s="12" t="s">
        <v>1979</v>
      </c>
      <c r="D68" s="12" t="s">
        <v>1980</v>
      </c>
      <c r="E68" s="12" t="s">
        <v>1981</v>
      </c>
      <c r="F68" s="12" t="s">
        <v>1982</v>
      </c>
      <c r="G68" s="12" t="s">
        <v>1983</v>
      </c>
      <c r="H68" s="12" t="s">
        <v>1984</v>
      </c>
      <c r="I68" s="12" t="s">
        <v>1985</v>
      </c>
    </row>
    <row r="69" customFormat="false" ht="23.85" hidden="false" customHeight="false" outlineLevel="0" collapsed="false">
      <c r="A69" s="29" t="s">
        <v>1955</v>
      </c>
      <c r="B69" s="13" t="n">
        <v>7</v>
      </c>
      <c r="C69" s="12" t="s">
        <v>1986</v>
      </c>
      <c r="D69" s="12" t="s">
        <v>1987</v>
      </c>
      <c r="E69" s="12" t="s">
        <v>244</v>
      </c>
      <c r="F69" s="12" t="s">
        <v>1712</v>
      </c>
      <c r="G69" s="12" t="s">
        <v>244</v>
      </c>
      <c r="H69" s="12" t="s">
        <v>244</v>
      </c>
      <c r="I69" s="12" t="s">
        <v>1988</v>
      </c>
    </row>
    <row r="71" customFormat="false" ht="15" hidden="false" customHeight="false" outlineLevel="0" collapsed="false">
      <c r="A71" s="19" t="s">
        <v>1989</v>
      </c>
    </row>
  </sheetData>
  <autoFilter ref="A12:I69"/>
  <mergeCells count="14">
    <mergeCell ref="A4:B4"/>
    <mergeCell ref="C4:I4"/>
    <mergeCell ref="A5:B5"/>
    <mergeCell ref="C5:I5"/>
    <mergeCell ref="A6:B6"/>
    <mergeCell ref="C6:I6"/>
    <mergeCell ref="A7:B7"/>
    <mergeCell ref="C7:I7"/>
    <mergeCell ref="A8:B8"/>
    <mergeCell ref="C8:I8"/>
    <mergeCell ref="A9:B9"/>
    <mergeCell ref="C9:I9"/>
    <mergeCell ref="A10:B10"/>
    <mergeCell ref="C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60"/>
    <col collapsed="false" customWidth="true" hidden="false" outlineLevel="0" max="4" min="4" style="0" width="12"/>
    <col collapsed="false" customWidth="true" hidden="false" outlineLevel="0" max="5" min="5" style="0" width="80"/>
  </cols>
  <sheetData>
    <row r="1" customFormat="false" ht="31.5" hidden="false" customHeight="true" outlineLevel="0" collapsed="false">
      <c r="A1" s="10" t="s">
        <v>300</v>
      </c>
      <c r="B1" s="10" t="s">
        <v>1490</v>
      </c>
      <c r="C1" s="10" t="s">
        <v>1990</v>
      </c>
      <c r="D1" s="10" t="s">
        <v>1991</v>
      </c>
      <c r="E1" s="10" t="s">
        <v>1492</v>
      </c>
    </row>
    <row r="2" customFormat="false" ht="15" hidden="false" customHeight="false" outlineLevel="0" collapsed="false">
      <c r="A2" s="12" t="s">
        <v>1992</v>
      </c>
      <c r="B2" s="12" t="s">
        <v>111</v>
      </c>
      <c r="C2" s="12" t="s">
        <v>1993</v>
      </c>
      <c r="D2" s="12" t="s">
        <v>1994</v>
      </c>
      <c r="E2" s="15" t="s">
        <v>1995</v>
      </c>
    </row>
    <row r="3" customFormat="false" ht="15" hidden="false" customHeight="false" outlineLevel="0" collapsed="false">
      <c r="A3" s="12" t="s">
        <v>1996</v>
      </c>
      <c r="B3" s="12" t="s">
        <v>1588</v>
      </c>
      <c r="C3" s="12" t="s">
        <v>1997</v>
      </c>
      <c r="D3" s="12" t="s">
        <v>1998</v>
      </c>
      <c r="E3" s="15" t="s">
        <v>1590</v>
      </c>
    </row>
    <row r="4" customFormat="false" ht="15" hidden="false" customHeight="false" outlineLevel="0" collapsed="false">
      <c r="A4" s="12" t="s">
        <v>1999</v>
      </c>
      <c r="B4" s="12" t="s">
        <v>134</v>
      </c>
      <c r="C4" s="12" t="s">
        <v>2000</v>
      </c>
      <c r="D4" s="12" t="s">
        <v>2001</v>
      </c>
      <c r="E4" s="15" t="s">
        <v>1557</v>
      </c>
    </row>
    <row r="5" customFormat="false" ht="15" hidden="false" customHeight="false" outlineLevel="0" collapsed="false">
      <c r="A5" s="12" t="s">
        <v>2002</v>
      </c>
      <c r="B5" s="12" t="s">
        <v>123</v>
      </c>
      <c r="C5" s="12" t="s">
        <v>2003</v>
      </c>
      <c r="D5" s="12" t="s">
        <v>2001</v>
      </c>
      <c r="E5" s="15" t="s">
        <v>1505</v>
      </c>
    </row>
    <row r="6" customFormat="false" ht="15" hidden="false" customHeight="false" outlineLevel="0" collapsed="false">
      <c r="A6" s="12" t="s">
        <v>2004</v>
      </c>
      <c r="B6" s="12" t="s">
        <v>145</v>
      </c>
      <c r="C6" s="12" t="s">
        <v>2005</v>
      </c>
      <c r="D6" s="12" t="s">
        <v>2006</v>
      </c>
      <c r="E6" s="15" t="s">
        <v>1538</v>
      </c>
    </row>
    <row r="7" customFormat="false" ht="15" hidden="false" customHeight="false" outlineLevel="0" collapsed="false">
      <c r="A7" s="12" t="s">
        <v>2007</v>
      </c>
      <c r="B7" s="12" t="s">
        <v>194</v>
      </c>
      <c r="C7" s="12" t="s">
        <v>2008</v>
      </c>
      <c r="D7" s="12" t="s">
        <v>2001</v>
      </c>
      <c r="E7" s="15" t="s">
        <v>1639</v>
      </c>
    </row>
    <row r="8" customFormat="false" ht="15" hidden="false" customHeight="false" outlineLevel="0" collapsed="false">
      <c r="A8" s="12" t="s">
        <v>2009</v>
      </c>
      <c r="B8" s="12" t="s">
        <v>182</v>
      </c>
      <c r="C8" s="12" t="s">
        <v>2010</v>
      </c>
      <c r="D8" s="12" t="s">
        <v>2001</v>
      </c>
      <c r="E8" s="15" t="s">
        <v>1628</v>
      </c>
    </row>
    <row r="9" customFormat="false" ht="15" hidden="false" customHeight="false" outlineLevel="0" collapsed="false">
      <c r="A9" s="12" t="s">
        <v>2011</v>
      </c>
      <c r="B9" s="12" t="s">
        <v>1539</v>
      </c>
      <c r="C9" s="12" t="s">
        <v>2012</v>
      </c>
      <c r="D9" s="12" t="s">
        <v>2013</v>
      </c>
      <c r="E9" s="15" t="s">
        <v>1541</v>
      </c>
    </row>
    <row r="10" customFormat="false" ht="23.85" hidden="false" customHeight="false" outlineLevel="0" collapsed="false">
      <c r="A10" s="12" t="s">
        <v>290</v>
      </c>
      <c r="B10" s="12" t="s">
        <v>170</v>
      </c>
      <c r="C10" s="12" t="s">
        <v>2014</v>
      </c>
      <c r="D10" s="12" t="s">
        <v>2015</v>
      </c>
      <c r="E10" s="15" t="s">
        <v>1495</v>
      </c>
    </row>
    <row r="11" customFormat="false" ht="15" hidden="false" customHeight="false" outlineLevel="0" collapsed="false">
      <c r="A11" s="12" t="s">
        <v>2016</v>
      </c>
      <c r="B11" s="12" t="s">
        <v>1629</v>
      </c>
      <c r="C11" s="12" t="s">
        <v>2017</v>
      </c>
      <c r="D11" s="12" t="s">
        <v>2018</v>
      </c>
      <c r="E11" s="15" t="s">
        <v>1631</v>
      </c>
    </row>
    <row r="12" customFormat="false" ht="15" hidden="false" customHeight="false" outlineLevel="0" collapsed="false">
      <c r="A12" s="12" t="s">
        <v>2019</v>
      </c>
      <c r="B12" s="12" t="s">
        <v>2020</v>
      </c>
      <c r="C12" s="12" t="s">
        <v>2021</v>
      </c>
      <c r="D12" s="12" t="s">
        <v>2022</v>
      </c>
      <c r="E12" s="15" t="s">
        <v>2023</v>
      </c>
    </row>
    <row r="13" customFormat="false" ht="15" hidden="false" customHeight="false" outlineLevel="0" collapsed="false">
      <c r="A13" s="12" t="s">
        <v>2024</v>
      </c>
      <c r="B13" s="12" t="s">
        <v>2025</v>
      </c>
      <c r="C13" s="12" t="s">
        <v>2026</v>
      </c>
      <c r="D13" s="12" t="s">
        <v>2027</v>
      </c>
      <c r="E13" s="15" t="s">
        <v>2028</v>
      </c>
    </row>
    <row r="14" customFormat="false" ht="15" hidden="false" customHeight="false" outlineLevel="0" collapsed="false">
      <c r="A14" s="12" t="s">
        <v>2029</v>
      </c>
      <c r="B14" s="12" t="s">
        <v>2030</v>
      </c>
      <c r="C14" s="12" t="s">
        <v>2031</v>
      </c>
      <c r="D14" s="12" t="s">
        <v>2032</v>
      </c>
      <c r="E14" s="15" t="s">
        <v>2033</v>
      </c>
    </row>
    <row r="15" customFormat="false" ht="15" hidden="false" customHeight="false" outlineLevel="0" collapsed="false">
      <c r="A15" s="12" t="s">
        <v>450</v>
      </c>
      <c r="B15" s="12" t="s">
        <v>451</v>
      </c>
      <c r="C15" s="12" t="s">
        <v>2034</v>
      </c>
      <c r="D15" s="12" t="s">
        <v>2035</v>
      </c>
      <c r="E15" s="15" t="s">
        <v>2036</v>
      </c>
    </row>
    <row r="16" customFormat="false" ht="15" hidden="false" customHeight="false" outlineLevel="0" collapsed="false">
      <c r="A16" s="12" t="s">
        <v>2037</v>
      </c>
      <c r="B16" s="12" t="s">
        <v>409</v>
      </c>
      <c r="C16" s="12" t="s">
        <v>2038</v>
      </c>
      <c r="D16" s="12" t="s">
        <v>2039</v>
      </c>
      <c r="E16" s="15" t="s">
        <v>2040</v>
      </c>
    </row>
    <row r="17" customFormat="false" ht="15" hidden="false" customHeight="false" outlineLevel="0" collapsed="false">
      <c r="A17" s="12" t="s">
        <v>890</v>
      </c>
      <c r="B17" s="12" t="s">
        <v>855</v>
      </c>
      <c r="C17" s="12" t="s">
        <v>2041</v>
      </c>
      <c r="D17" s="12" t="s">
        <v>2042</v>
      </c>
      <c r="E17" s="15" t="s">
        <v>2043</v>
      </c>
    </row>
    <row r="18" customFormat="false" ht="15" hidden="false" customHeight="false" outlineLevel="0" collapsed="false">
      <c r="A18" s="12" t="s">
        <v>2044</v>
      </c>
      <c r="B18" s="12" t="s">
        <v>2045</v>
      </c>
      <c r="C18" s="12" t="s">
        <v>2046</v>
      </c>
      <c r="D18" s="12" t="s">
        <v>2047</v>
      </c>
      <c r="E18" s="15" t="s">
        <v>2048</v>
      </c>
    </row>
    <row r="19" customFormat="false" ht="15" hidden="false" customHeight="false" outlineLevel="0" collapsed="false">
      <c r="A19" s="12" t="s">
        <v>2049</v>
      </c>
      <c r="B19" s="12" t="s">
        <v>273</v>
      </c>
      <c r="C19" s="12" t="s">
        <v>2050</v>
      </c>
      <c r="D19" s="12" t="s">
        <v>2051</v>
      </c>
      <c r="E19" s="15" t="s">
        <v>2052</v>
      </c>
    </row>
    <row r="20" customFormat="false" ht="15" hidden="false" customHeight="false" outlineLevel="0" collapsed="false">
      <c r="A20" s="12" t="s">
        <v>2053</v>
      </c>
      <c r="B20" s="12" t="s">
        <v>2054</v>
      </c>
      <c r="C20" s="12" t="s">
        <v>2055</v>
      </c>
      <c r="D20" s="12" t="s">
        <v>2018</v>
      </c>
      <c r="E20" s="15" t="s">
        <v>2056</v>
      </c>
    </row>
    <row r="21" customFormat="false" ht="15" hidden="false" customHeight="false" outlineLevel="0" collapsed="false">
      <c r="A21" s="12" t="s">
        <v>2057</v>
      </c>
      <c r="B21" s="12" t="s">
        <v>2058</v>
      </c>
      <c r="C21" s="12" t="s">
        <v>2059</v>
      </c>
      <c r="D21" s="12" t="s">
        <v>2060</v>
      </c>
      <c r="E21" s="15" t="s">
        <v>2061</v>
      </c>
    </row>
    <row r="22" customFormat="false" ht="15" hidden="false" customHeight="false" outlineLevel="0" collapsed="false">
      <c r="A22" s="12" t="s">
        <v>2062</v>
      </c>
      <c r="B22" s="12" t="s">
        <v>2063</v>
      </c>
      <c r="C22" s="12" t="s">
        <v>2064</v>
      </c>
      <c r="D22" s="12" t="s">
        <v>2013</v>
      </c>
      <c r="E22" s="15" t="s">
        <v>2065</v>
      </c>
    </row>
    <row r="23" customFormat="false" ht="23.85" hidden="false" customHeight="false" outlineLevel="0" collapsed="false">
      <c r="A23" s="12" t="s">
        <v>2066</v>
      </c>
      <c r="B23" s="12" t="s">
        <v>2067</v>
      </c>
      <c r="C23" s="12" t="s">
        <v>2068</v>
      </c>
      <c r="D23" s="12" t="s">
        <v>2069</v>
      </c>
      <c r="E23" s="15" t="s">
        <v>2070</v>
      </c>
    </row>
    <row r="24" customFormat="false" ht="15" hidden="false" customHeight="false" outlineLevel="0" collapsed="false">
      <c r="A24" s="12" t="s">
        <v>621</v>
      </c>
      <c r="B24" s="12" t="s">
        <v>603</v>
      </c>
      <c r="C24" s="12" t="s">
        <v>2071</v>
      </c>
      <c r="D24" s="12" t="s">
        <v>2072</v>
      </c>
      <c r="E24" s="15" t="s">
        <v>2073</v>
      </c>
    </row>
    <row r="25" customFormat="false" ht="15" hidden="false" customHeight="false" outlineLevel="0" collapsed="false">
      <c r="A25" s="12" t="s">
        <v>323</v>
      </c>
      <c r="B25" s="12" t="s">
        <v>324</v>
      </c>
      <c r="C25" s="12" t="s">
        <v>2074</v>
      </c>
      <c r="D25" s="12" t="s">
        <v>2075</v>
      </c>
      <c r="E25" s="15" t="s">
        <v>2076</v>
      </c>
    </row>
    <row r="26" customFormat="false" ht="15" hidden="false" customHeight="false" outlineLevel="0" collapsed="false">
      <c r="A26" s="12" t="s">
        <v>2077</v>
      </c>
      <c r="B26" s="12" t="s">
        <v>2078</v>
      </c>
      <c r="C26" s="12" t="s">
        <v>2079</v>
      </c>
      <c r="D26" s="12" t="s">
        <v>2075</v>
      </c>
      <c r="E26" s="15" t="s">
        <v>2080</v>
      </c>
    </row>
    <row r="27" customFormat="false" ht="15" hidden="false" customHeight="false" outlineLevel="0" collapsed="false">
      <c r="A27" s="12" t="s">
        <v>2081</v>
      </c>
      <c r="B27" s="12" t="s">
        <v>2082</v>
      </c>
      <c r="C27" s="12" t="s">
        <v>2083</v>
      </c>
      <c r="D27" s="12" t="s">
        <v>2084</v>
      </c>
      <c r="E27" s="15" t="s">
        <v>2085</v>
      </c>
    </row>
    <row r="28" customFormat="false" ht="15" hidden="false" customHeight="false" outlineLevel="0" collapsed="false">
      <c r="A28" s="12" t="s">
        <v>670</v>
      </c>
      <c r="B28" s="12" t="s">
        <v>635</v>
      </c>
      <c r="C28" s="12" t="s">
        <v>2086</v>
      </c>
      <c r="D28" s="12" t="s">
        <v>2060</v>
      </c>
      <c r="E28" s="15" t="s">
        <v>2087</v>
      </c>
    </row>
    <row r="29" customFormat="false" ht="15" hidden="false" customHeight="false" outlineLevel="0" collapsed="false">
      <c r="A29" s="12" t="s">
        <v>647</v>
      </c>
      <c r="B29" s="12" t="s">
        <v>648</v>
      </c>
      <c r="C29" s="12" t="s">
        <v>2088</v>
      </c>
      <c r="D29" s="12" t="s">
        <v>2069</v>
      </c>
      <c r="E29" s="15" t="s">
        <v>2089</v>
      </c>
    </row>
    <row r="30" customFormat="false" ht="15" hidden="false" customHeight="false" outlineLevel="0" collapsed="false">
      <c r="A30" s="12" t="s">
        <v>653</v>
      </c>
      <c r="B30" s="12" t="s">
        <v>654</v>
      </c>
      <c r="C30" s="12" t="s">
        <v>2090</v>
      </c>
      <c r="D30" s="12" t="s">
        <v>2051</v>
      </c>
      <c r="E30" s="15" t="s">
        <v>2091</v>
      </c>
    </row>
    <row r="31" customFormat="false" ht="15" hidden="false" customHeight="false" outlineLevel="0" collapsed="false">
      <c r="A31" s="12" t="s">
        <v>876</v>
      </c>
      <c r="B31" s="12" t="s">
        <v>848</v>
      </c>
      <c r="C31" s="12" t="s">
        <v>2092</v>
      </c>
      <c r="D31" s="12" t="s">
        <v>2069</v>
      </c>
      <c r="E31" s="15" t="s">
        <v>2093</v>
      </c>
    </row>
    <row r="32" customFormat="false" ht="15" hidden="false" customHeight="false" outlineLevel="0" collapsed="false">
      <c r="A32" s="12" t="s">
        <v>895</v>
      </c>
      <c r="B32" s="12" t="s">
        <v>896</v>
      </c>
      <c r="C32" s="12" t="s">
        <v>2092</v>
      </c>
      <c r="D32" s="12" t="s">
        <v>2018</v>
      </c>
      <c r="E32" s="15" t="s">
        <v>2094</v>
      </c>
    </row>
    <row r="33" customFormat="false" ht="15" hidden="false" customHeight="false" outlineLevel="0" collapsed="false">
      <c r="A33" s="12" t="s">
        <v>920</v>
      </c>
      <c r="B33" s="12" t="s">
        <v>905</v>
      </c>
      <c r="C33" s="12" t="s">
        <v>2095</v>
      </c>
      <c r="D33" s="12" t="s">
        <v>2096</v>
      </c>
      <c r="E33" s="15" t="s">
        <v>2097</v>
      </c>
    </row>
    <row r="34" customFormat="false" ht="15" hidden="false" customHeight="false" outlineLevel="0" collapsed="false">
      <c r="A34" s="12" t="s">
        <v>609</v>
      </c>
      <c r="B34" s="12" t="s">
        <v>598</v>
      </c>
      <c r="C34" s="12" t="s">
        <v>2098</v>
      </c>
      <c r="D34" s="12" t="s">
        <v>2069</v>
      </c>
      <c r="E34" s="15" t="s">
        <v>2099</v>
      </c>
    </row>
    <row r="35" customFormat="false" ht="15" hidden="false" customHeight="false" outlineLevel="0" collapsed="false">
      <c r="A35" s="12" t="s">
        <v>2100</v>
      </c>
      <c r="B35" s="12" t="s">
        <v>2101</v>
      </c>
      <c r="C35" s="12" t="s">
        <v>2102</v>
      </c>
      <c r="D35" s="12" t="s">
        <v>2018</v>
      </c>
      <c r="E35" s="15" t="s">
        <v>2103</v>
      </c>
    </row>
    <row r="36" customFormat="false" ht="15" hidden="false" customHeight="false" outlineLevel="0" collapsed="false">
      <c r="A36" s="12" t="s">
        <v>1090</v>
      </c>
      <c r="B36" s="12" t="s">
        <v>1091</v>
      </c>
      <c r="C36" s="12" t="s">
        <v>2104</v>
      </c>
      <c r="D36" s="12" t="s">
        <v>2051</v>
      </c>
      <c r="E36" s="15" t="s">
        <v>2105</v>
      </c>
    </row>
    <row r="37" customFormat="false" ht="15" hidden="false" customHeight="false" outlineLevel="0" collapsed="false">
      <c r="A37" s="12" t="s">
        <v>811</v>
      </c>
      <c r="B37" s="12" t="s">
        <v>803</v>
      </c>
      <c r="C37" s="12" t="s">
        <v>2106</v>
      </c>
      <c r="D37" s="12" t="s">
        <v>1994</v>
      </c>
      <c r="E37" s="15" t="s">
        <v>2107</v>
      </c>
    </row>
    <row r="38" customFormat="false" ht="15" hidden="false" customHeight="false" outlineLevel="0" collapsed="false">
      <c r="A38" s="12" t="s">
        <v>2108</v>
      </c>
      <c r="B38" s="12" t="s">
        <v>1046</v>
      </c>
      <c r="C38" s="12" t="s">
        <v>2109</v>
      </c>
      <c r="D38" s="12" t="s">
        <v>2084</v>
      </c>
      <c r="E38" s="15" t="s">
        <v>2110</v>
      </c>
    </row>
    <row r="39" customFormat="false" ht="15" hidden="false" customHeight="false" outlineLevel="0" collapsed="false">
      <c r="A39" s="12" t="s">
        <v>1063</v>
      </c>
      <c r="B39" s="12" t="s">
        <v>1064</v>
      </c>
      <c r="C39" s="12" t="s">
        <v>2111</v>
      </c>
      <c r="D39" s="12" t="s">
        <v>2018</v>
      </c>
      <c r="E39" s="15" t="s">
        <v>2112</v>
      </c>
    </row>
    <row r="40" customFormat="false" ht="15" hidden="false" customHeight="false" outlineLevel="0" collapsed="false">
      <c r="A40" s="12" t="s">
        <v>683</v>
      </c>
      <c r="B40" s="12" t="s">
        <v>684</v>
      </c>
      <c r="C40" s="12" t="s">
        <v>2113</v>
      </c>
      <c r="D40" s="12" t="s">
        <v>2114</v>
      </c>
      <c r="E40" s="15" t="s">
        <v>2115</v>
      </c>
    </row>
    <row r="41" customFormat="false" ht="15" hidden="false" customHeight="false" outlineLevel="0" collapsed="false">
      <c r="A41" s="12" t="s">
        <v>2116</v>
      </c>
      <c r="B41" s="12" t="s">
        <v>678</v>
      </c>
      <c r="C41" s="12" t="s">
        <v>2117</v>
      </c>
      <c r="D41" s="12" t="s">
        <v>2114</v>
      </c>
      <c r="E41" s="15" t="s">
        <v>2118</v>
      </c>
    </row>
    <row r="42" customFormat="false" ht="15" hidden="false" customHeight="false" outlineLevel="0" collapsed="false">
      <c r="A42" s="12" t="s">
        <v>705</v>
      </c>
      <c r="B42" s="12" t="s">
        <v>706</v>
      </c>
      <c r="C42" s="12" t="s">
        <v>2119</v>
      </c>
      <c r="D42" s="12" t="s">
        <v>2120</v>
      </c>
      <c r="E42" s="15" t="s">
        <v>2121</v>
      </c>
    </row>
    <row r="43" customFormat="false" ht="15" hidden="false" customHeight="false" outlineLevel="0" collapsed="false">
      <c r="A43" s="12" t="s">
        <v>553</v>
      </c>
      <c r="B43" s="12" t="s">
        <v>554</v>
      </c>
      <c r="C43" s="12" t="s">
        <v>2122</v>
      </c>
      <c r="D43" s="12" t="s">
        <v>2069</v>
      </c>
      <c r="E43" s="15" t="s">
        <v>2123</v>
      </c>
    </row>
    <row r="44" customFormat="false" ht="15" hidden="false" customHeight="false" outlineLevel="0" collapsed="false">
      <c r="A44" s="12" t="s">
        <v>2124</v>
      </c>
      <c r="B44" s="12" t="s">
        <v>790</v>
      </c>
      <c r="C44" s="12" t="s">
        <v>2125</v>
      </c>
      <c r="D44" s="12" t="s">
        <v>2120</v>
      </c>
      <c r="E44" s="15" t="s">
        <v>2126</v>
      </c>
    </row>
    <row r="45" customFormat="false" ht="15" hidden="false" customHeight="false" outlineLevel="0" collapsed="false">
      <c r="A45" s="12" t="s">
        <v>2127</v>
      </c>
      <c r="B45" s="12" t="s">
        <v>2128</v>
      </c>
      <c r="C45" s="12" t="s">
        <v>2129</v>
      </c>
      <c r="D45" s="12" t="s">
        <v>2060</v>
      </c>
      <c r="E45" s="15" t="s">
        <v>2130</v>
      </c>
    </row>
    <row r="46" customFormat="false" ht="15" hidden="false" customHeight="false" outlineLevel="0" collapsed="false">
      <c r="A46" s="12" t="s">
        <v>659</v>
      </c>
      <c r="B46" s="12" t="s">
        <v>660</v>
      </c>
      <c r="C46" s="12" t="s">
        <v>2131</v>
      </c>
      <c r="D46" s="12" t="s">
        <v>2060</v>
      </c>
      <c r="E46" s="15" t="s">
        <v>2132</v>
      </c>
    </row>
    <row r="47" customFormat="false" ht="15" hidden="false" customHeight="false" outlineLevel="0" collapsed="false">
      <c r="A47" s="12" t="s">
        <v>731</v>
      </c>
      <c r="B47" s="12" t="s">
        <v>732</v>
      </c>
      <c r="C47" s="12" t="s">
        <v>2133</v>
      </c>
      <c r="D47" s="12" t="s">
        <v>2060</v>
      </c>
      <c r="E47" s="15" t="s">
        <v>2134</v>
      </c>
    </row>
    <row r="48" customFormat="false" ht="15" hidden="false" customHeight="false" outlineLevel="0" collapsed="false">
      <c r="A48" s="12" t="s">
        <v>1017</v>
      </c>
      <c r="B48" s="12" t="s">
        <v>941</v>
      </c>
      <c r="C48" s="12" t="s">
        <v>2135</v>
      </c>
      <c r="D48" s="12" t="s">
        <v>2136</v>
      </c>
      <c r="E48" s="15" t="s">
        <v>2137</v>
      </c>
    </row>
    <row r="49" customFormat="false" ht="15" hidden="false" customHeight="false" outlineLevel="0" collapsed="false">
      <c r="A49" s="12" t="s">
        <v>2138</v>
      </c>
      <c r="B49" s="12" t="s">
        <v>1023</v>
      </c>
      <c r="C49" s="12" t="s">
        <v>2139</v>
      </c>
      <c r="D49" s="12" t="s">
        <v>2140</v>
      </c>
      <c r="E49" s="15" t="s">
        <v>2141</v>
      </c>
    </row>
    <row r="50" customFormat="false" ht="15" hidden="false" customHeight="false" outlineLevel="0" collapsed="false">
      <c r="A50" s="12" t="s">
        <v>1039</v>
      </c>
      <c r="B50" s="12" t="s">
        <v>1032</v>
      </c>
      <c r="C50" s="12" t="s">
        <v>2142</v>
      </c>
      <c r="D50" s="12" t="s">
        <v>2114</v>
      </c>
      <c r="E50" s="15" t="s">
        <v>2143</v>
      </c>
    </row>
    <row r="51" customFormat="false" ht="15" hidden="false" customHeight="false" outlineLevel="0" collapsed="false">
      <c r="A51" s="12" t="s">
        <v>2144</v>
      </c>
      <c r="B51" s="12" t="s">
        <v>2145</v>
      </c>
      <c r="C51" s="12" t="s">
        <v>2146</v>
      </c>
      <c r="D51" s="12" t="s">
        <v>2120</v>
      </c>
      <c r="E51" s="15" t="s">
        <v>2147</v>
      </c>
    </row>
    <row r="52" customFormat="false" ht="15" hidden="false" customHeight="false" outlineLevel="0" collapsed="false">
      <c r="A52" s="12" t="s">
        <v>2148</v>
      </c>
      <c r="B52" s="12" t="s">
        <v>2149</v>
      </c>
      <c r="C52" s="12" t="s">
        <v>2150</v>
      </c>
      <c r="D52" s="12" t="s">
        <v>2136</v>
      </c>
      <c r="E52" s="15" t="s">
        <v>2151</v>
      </c>
    </row>
    <row r="53" customFormat="false" ht="15" hidden="false" customHeight="false" outlineLevel="0" collapsed="false">
      <c r="A53" s="12" t="s">
        <v>2152</v>
      </c>
      <c r="B53" s="12" t="s">
        <v>2153</v>
      </c>
      <c r="C53" s="12" t="s">
        <v>2154</v>
      </c>
      <c r="D53" s="12" t="s">
        <v>2155</v>
      </c>
      <c r="E53" s="15" t="s">
        <v>2156</v>
      </c>
    </row>
    <row r="54" customFormat="false" ht="15" hidden="false" customHeight="false" outlineLevel="0" collapsed="false">
      <c r="A54" s="12" t="s">
        <v>2157</v>
      </c>
      <c r="B54" s="12" t="s">
        <v>2158</v>
      </c>
      <c r="C54" s="12" t="s">
        <v>2159</v>
      </c>
      <c r="D54" s="12" t="s">
        <v>1630</v>
      </c>
      <c r="E54" s="15" t="s">
        <v>2160</v>
      </c>
    </row>
    <row r="55" customFormat="false" ht="15" hidden="false" customHeight="false" outlineLevel="0" collapsed="false">
      <c r="A55" s="12" t="s">
        <v>2161</v>
      </c>
      <c r="B55" s="12" t="s">
        <v>2162</v>
      </c>
      <c r="C55" s="12" t="s">
        <v>2163</v>
      </c>
      <c r="D55" s="12" t="s">
        <v>244</v>
      </c>
      <c r="E55" s="15" t="s">
        <v>2164</v>
      </c>
    </row>
    <row r="56" customFormat="false" ht="15" hidden="false" customHeight="false" outlineLevel="0" collapsed="false">
      <c r="A56" s="12" t="s">
        <v>330</v>
      </c>
      <c r="B56" s="12" t="s">
        <v>331</v>
      </c>
      <c r="C56" s="12" t="s">
        <v>2165</v>
      </c>
      <c r="D56" s="12" t="s">
        <v>244</v>
      </c>
      <c r="E56" s="12"/>
    </row>
    <row r="57" customFormat="false" ht="15" hidden="false" customHeight="false" outlineLevel="0" collapsed="false">
      <c r="A57" s="12" t="s">
        <v>588</v>
      </c>
      <c r="B57" s="12" t="s">
        <v>589</v>
      </c>
      <c r="C57" s="12" t="s">
        <v>2166</v>
      </c>
      <c r="D57" s="12" t="s">
        <v>244</v>
      </c>
      <c r="E57" s="12"/>
    </row>
  </sheetData>
  <hyperlinks>
    <hyperlink ref="E2" r:id="rId1" display="https://www.doctorofcredit.com/which-credit-bureau-does-each-card-issuer-pull/"/>
    <hyperlink ref="E3" r:id="rId2" display="https://www.doctorofcredit.com/knowledge-base/which-credit-bureau-does-chase-pull"/>
    <hyperlink ref="E4" r:id="rId3" display="https://www.doctorofcredit.com/credit-bureau-citibank-pull/"/>
    <hyperlink ref="E5" r:id="rId4" display="https://www.doctorofcredit.com/credit-bureau-american-express-pull"/>
    <hyperlink ref="E6" r:id="rId5" display="https://www.doctorofcredit.com/credit-bureau-bank-america-pull/"/>
    <hyperlink ref="E7" r:id="rId6" display="https://www.doctorofcredit.com/credit-bureau-wells-fargo-pull"/>
    <hyperlink ref="E8" r:id="rId7" display="https://www.doctorofcredit.com/credit-bureau-u-s-bank-pull"/>
    <hyperlink ref="E9" r:id="rId8" display="https://mybanktracker.com/credit-cards/credit-score/credit-report-bank-of-america-pull-273501"/>
    <hyperlink ref="E10" r:id="rId9" display="https://ficoforums.myfico.com/t5/General-Credit-Topics/Which-Report-Will-They-Pull-Part-2/td-p/6379773"/>
    <hyperlink ref="E11" r:id="rId10" display="https://ficoforums.myfico.com/t5/General-Credit-Topics/U-S-Bank-pulls/td-p/6868435"/>
    <hyperlink ref="E12" r:id="rId11" display="https://ficoforums.myfico.com/t5/Business-Credit/Which-Credit-Bureaus-Do-These-Business-Cards-Pull-From/td-p/6811049"/>
    <hyperlink ref="E13" r:id="rId12" display="https://ficoforums.myfico.com/t5/Business-Credit/What-Credit-Bureaus-are-pulled-for-Business-Credit/td-p/6715854"/>
    <hyperlink ref="E14" r:id="rId13" display="https://ficoforums.myfico.com/t5/Credit-Card-Applications/Credit-Cards-that-only-use-TransUnion/td-p/6736282"/>
    <hyperlink ref="E15" r:id="rId14" display="https://ficoforums.myfico.com/t5/Credit-Cards/What-credit-unions-use-Transunion-for-credit-cards-PLOC-s/td-p/4713036"/>
    <hyperlink ref="E16" r:id="rId15" display="https://ficoforums.myfico.com/t5/Credit-Cards/good-Credit-union-that-pull-equifax/td-p/6638312"/>
    <hyperlink ref="E17" r:id="rId16" display="https://ficoforums.myfico.com/t5/Personal-Finance/List-of-Personal-loan-lenders-with-PREAPPROVAL-links/td-p/5939849"/>
    <hyperlink ref="E18" r:id="rId17" display="https://ficoforums.myfico.com/t5/General-Credit-Topics/What-credit-bureaus-does-NavyFed-pull-from/td-p/6648244"/>
    <hyperlink ref="E19" r:id="rId18" display="https://cardright.com/list-of-which-credit-report-each-bank-pulls/"/>
    <hyperlink ref="E20" r:id="rId19" display="https://financer.com/cards/what-credit-cards-use-transunion/"/>
    <hyperlink ref="E21" r:id="rId20" display="https://www.stackeasy.ai/blog/credit-bureau-pull-database-2026"/>
    <hyperlink ref="E22" r:id="rId21" display="https://thepointsguy.com/credit-cards/which-credit-report-agencies-banks-use-to-pull-your-credit-report-and-why-it-matters/"/>
    <hyperlink ref="E23" r:id="rId22" display="https://www.thecreditpeople.com/bureaus/which-credit-bureau-does-each-bank-pull-from"/>
    <hyperlink ref="E24" r:id="rId23" display="https://doctorofcredit.com/which-business-credit-cards-report/"/>
    <hyperlink ref="E25" r:id="rId24" display="https://www.stacking.capital/articles/0-percent-interest-business-funding-complete-guide"/>
    <hyperlink ref="E26" r:id="rId25" display="https://www.stacking.capital/articles/credit-card-agent-issuers-complete-guide"/>
    <hyperlink ref="E27" r:id="rId26" display="https://frequentmiler.com/complete-guide-to-credit-card-application-rules-by-bank"/>
    <hyperlink ref="E28" r:id="rId27" display="https://www.lendingtree.com/business/no-doc-loans/"/>
    <hyperlink ref="E29" r:id="rId28" display="https://www.nerdwallet.com/best/small-business/business-line-of-credit"/>
    <hyperlink ref="E30" r:id="rId29" display="https://www.nerdwallet.com/article/small-business/startup-business-line-of-credit"/>
    <hyperlink ref="E31" r:id="rId30" display="https://www.nerdwallet.com/best/loans/personal-loans/best-personal-loans-2"/>
    <hyperlink ref="E32" r:id="rId31" display="https://financer.com/loans/what-credit-score-is-needed-for-a-personal-loan/"/>
    <hyperlink ref="E33" r:id="rId32" display="https://www.finder.com/personal-loans/best-bad-credit-personal-loans"/>
    <hyperlink ref="E34" r:id="rId33" display="https://www.nerdwallet.com/business/credit-cards/best/no-credit-check"/>
    <hyperlink ref="E35" r:id="rId34" display="https://ramp.com/blog/brex-business-credit-card-requirements"/>
    <hyperlink ref="E36" r:id="rId35" display="https://startupsavant.com/net-30-vendors"/>
    <hyperlink ref="E37" r:id="rId36" display="https://www.lendingtree.com/business/microloans"/>
    <hyperlink ref="E38" r:id="rId37" display="https://newsilver.com/dscr-loan/best-dscr-lenders/"/>
    <hyperlink ref="E39" r:id="rId38" display="https://theclose.com/best-fix-and-flip-loans"/>
    <hyperlink ref="E40" r:id="rId39" display="https://www.bankrate.com/loans/small-business/best-equipment-business-loans"/>
    <hyperlink ref="E41" r:id="rId40" display="https://www.nerdwallet.com/business/loans/best/bad-credit"/>
    <hyperlink ref="E42" r:id="rId41" display="https://nerdwallet.com/business/loans/best/merchant-cash-advance-companies"/>
    <hyperlink ref="E43" r:id="rId42" display="https://www.nerdwallet.com/credit-cards/best/building-credit"/>
    <hyperlink ref="E44" r:id="rId43" display="https://www.naggl.org/sba-notice-formally-announcing-sunsetting-of-sbss-scoring-and-providing-new-underwriting-requirements-for-7a-small-loans/"/>
    <hyperlink ref="E45" r:id="rId44" display="https://www.nerdwallet.com/business/loans/learn/best-banks-small-business-loans"/>
    <hyperlink ref="E46" r:id="rId45" display="https://www.bankrate.com/loans/small-business/reviews/american-express-business-blueprint"/>
    <hyperlink ref="E47" r:id="rId46" display="https://www.lendingtree.com/business/invoice-factoring/"/>
    <hyperlink ref="E48" r:id="rId47" display="https://www.crediful.com/auto-loans-for-bad-credit/"/>
    <hyperlink ref="E49" r:id="rId48" display="https://www.sofi.com/learn/content/which-credit-score-is-used/"/>
    <hyperlink ref="E50" r:id="rId49" display="https://nationalmortgageprofessional.com/news/fhfa-opens-vantagescore-all-gse-lenders-eyes-credit-report-overhaul"/>
    <hyperlink ref="E51" r:id="rId50" display="https://www.goldmansachs.com/pressroom/press-releases/2026/goldman-sachs-announces-agreement-to-transition-apple-card-program-to-chase"/>
    <hyperlink ref="E52" r:id="rId51" display="https://www.capitalone.com/about/newsroom/capital-one-completes-acquisition-of-brex/"/>
    <hyperlink ref="E53" r:id="rId52" display="https://www.businesswire.com/news/home/20250517147002/en/Capital-One-Completes-Acquisition-of-Discover"/>
    <hyperlink ref="E54" r:id="rId53" display="https://www.americanbanker.com/news/goodbye-lendingclub-digital-bank-rebrands-as-happen-bank"/>
    <hyperlink ref="E55" r:id="rId54" display="https://en.wikipedia.org/wiki/BBVA_US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2026-10-08T00:19:18Z</dcterms:created>
  <dc:creator>openpyxl</dc:creator>
  <dc:description/>
  <dc:language>en-US</dc:language>
  <cp:lastModifiedBy/>
  <dcterms:modified xsi:type="dcterms:W3CDTF">2026-10-08T00:19:19Z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